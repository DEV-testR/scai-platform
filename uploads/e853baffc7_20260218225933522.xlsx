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@Core\Project\Thaibev\FD\ส่งงาน Dev\"/>
    </mc:Choice>
  </mc:AlternateContent>
  <xr:revisionPtr revIDLastSave="0" documentId="13_ncr:1_{54AD0CB5-6A89-454C-82CD-E943B595B949}" xr6:coauthVersionLast="47" xr6:coauthVersionMax="47" xr10:uidLastSave="{00000000-0000-0000-0000-000000000000}"/>
  <bookViews>
    <workbookView xWindow="20370" yWindow="-120" windowWidth="20730" windowHeight="11040" xr2:uid="{58CBF810-5894-4C82-840C-1BD439B9AFD2}"/>
  </bookViews>
  <sheets>
    <sheet name="R142" sheetId="1" r:id="rId1"/>
    <sheet name="Excel &amp; Test Case" sheetId="2" r:id="rId2"/>
    <sheet name="Config" sheetId="5" r:id="rId3"/>
    <sheet name="Note" sheetId="7" r:id="rId4"/>
    <sheet name="import em" sheetId="6" state="hidden" r:id="rId5"/>
  </sheets>
  <definedNames>
    <definedName name="_xlnm._FilterDatabase" localSheetId="3" hidden="1">Note!$A$1:$L$41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7" i="2" l="1"/>
  <c r="AM7" i="2"/>
  <c r="AN7" i="2" s="1"/>
  <c r="AH8" i="2"/>
  <c r="AE8" i="2"/>
  <c r="AB7" i="2"/>
  <c r="Y9" i="2"/>
  <c r="S7" i="2"/>
  <c r="P7" i="2"/>
  <c r="F15" i="7"/>
  <c r="G41" i="7"/>
  <c r="F41" i="7"/>
  <c r="G40" i="7"/>
  <c r="F40" i="7"/>
  <c r="G39" i="7"/>
  <c r="F39" i="7"/>
  <c r="G38" i="7"/>
  <c r="F38" i="7"/>
  <c r="G37" i="7"/>
  <c r="F37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15" i="7"/>
  <c r="G14" i="7"/>
  <c r="F14" i="7"/>
  <c r="G13" i="7"/>
  <c r="F13" i="7"/>
  <c r="G12" i="7"/>
  <c r="F12" i="7"/>
  <c r="G11" i="7"/>
  <c r="F11" i="7"/>
  <c r="G10" i="7"/>
  <c r="F10" i="7"/>
  <c r="G9" i="7"/>
  <c r="F9" i="7"/>
  <c r="P9" i="2"/>
  <c r="P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sa.mrg_armsabas1@eunite.com</author>
  </authors>
  <commentList>
    <comment ref="B2" authorId="0" shapeId="0" xr:uid="{2265B85E-7D79-4EDF-BF64-DFFFA7148E9B}">
      <text>
        <r>
          <rPr>
            <sz val="11"/>
            <color indexed="8"/>
            <rFont val="Tahoma"/>
            <family val="2"/>
            <scheme val="minor"/>
          </rPr>
          <t>ID</t>
        </r>
      </text>
    </comment>
    <comment ref="C2" authorId="0" shapeId="0" xr:uid="{65441802-2562-4AB4-806C-6A85D2898025}">
      <text>
        <r>
          <rPr>
            <sz val="11"/>
            <color indexed="8"/>
            <rFont val="Tahoma"/>
            <family val="2"/>
            <scheme val="minor"/>
          </rPr>
          <t>รหัส</t>
        </r>
      </text>
    </comment>
    <comment ref="D2" authorId="0" shapeId="0" xr:uid="{7EAA9252-B9CA-4E99-BB37-63B04311F071}">
      <text>
        <r>
          <rPr>
            <sz val="11"/>
            <color indexed="8"/>
            <rFont val="Tahoma"/>
            <family val="2"/>
            <scheme val="minor"/>
          </rPr>
          <t>ชื่อ</t>
        </r>
      </text>
    </comment>
    <comment ref="E2" authorId="0" shapeId="0" xr:uid="{C2FEE8F2-AD59-434B-9946-371D96BE6E59}">
      <text>
        <r>
          <rPr>
            <sz val="11"/>
            <color indexed="8"/>
            <rFont val="Tahoma"/>
            <family val="2"/>
            <scheme val="minor"/>
          </rPr>
          <t>ชื่อ (Alt)</t>
        </r>
      </text>
    </comment>
    <comment ref="F2" authorId="0" shapeId="0" xr:uid="{1E61F800-C36F-4AC6-ACA6-D42BAE2F32BB}">
      <text>
        <r>
          <rPr>
            <sz val="11"/>
            <color indexed="8"/>
            <rFont val="Tahoma"/>
            <family val="2"/>
            <scheme val="minor"/>
          </rPr>
          <t>Partition</t>
        </r>
      </text>
    </comment>
    <comment ref="G2" authorId="0" shapeId="0" xr:uid="{4DF3CEA4-5997-4974-AD7B-0CAFB91D0EC8}">
      <text>
        <r>
          <rPr>
            <sz val="11"/>
            <color indexed="8"/>
            <rFont val="Tahoma"/>
            <family val="2"/>
            <scheme val="minor"/>
          </rPr>
          <t>หมายเหตุ</t>
        </r>
      </text>
    </comment>
    <comment ref="H2" authorId="0" shapeId="0" xr:uid="{09DF6E51-9BA5-454F-952E-79D9FC50E4DF}">
      <text>
        <r>
          <rPr>
            <sz val="11"/>
            <color indexed="8"/>
            <rFont val="Tahoma"/>
            <family val="2"/>
            <scheme val="minor"/>
          </rPr>
          <t>สถานะ</t>
        </r>
      </text>
    </comment>
    <comment ref="I2" authorId="0" shapeId="0" xr:uid="{8D2804EA-C9A9-4E44-A615-DFB95648C52E}">
      <text>
        <r>
          <rPr>
            <sz val="11"/>
            <color indexed="8"/>
            <rFont val="Tahoma"/>
            <family val="2"/>
            <scheme val="minor"/>
          </rPr>
          <t>Encrypt</t>
        </r>
      </text>
    </comment>
    <comment ref="J2" authorId="0" shapeId="0" xr:uid="{B6DB98AB-ABA9-4620-9FF9-6E2039126AC1}">
      <text>
        <r>
          <rPr>
            <sz val="11"/>
            <color indexed="8"/>
            <rFont val="Tahoma"/>
            <family val="2"/>
            <scheme val="minor"/>
          </rPr>
          <t>ประเภทรายการ</t>
        </r>
      </text>
    </comment>
    <comment ref="K2" authorId="0" shapeId="0" xr:uid="{13AEC9F9-D47A-4050-A9D5-B33DE379DD52}">
      <text>
        <r>
          <rPr>
            <sz val="11"/>
            <color indexed="8"/>
            <rFont val="Tahoma"/>
            <family val="2"/>
            <scheme val="minor"/>
          </rPr>
          <t>ประเภทการจ่ายเงิน</t>
        </r>
      </text>
    </comment>
    <comment ref="L2" authorId="0" shapeId="0" xr:uid="{8785C4B3-D101-47C4-8A77-8DFBF05BF011}">
      <text>
        <r>
          <rPr>
            <sz val="11"/>
            <color indexed="8"/>
            <rFont val="Tahoma"/>
            <family val="2"/>
            <scheme val="minor"/>
          </rPr>
          <t>รายการ</t>
        </r>
      </text>
    </comment>
    <comment ref="M2" authorId="0" shapeId="0" xr:uid="{BF0A0E7E-D50F-4F45-AD9C-242F666721DF}">
      <text>
        <r>
          <rPr>
            <sz val="11"/>
            <color indexed="8"/>
            <rFont val="Tahoma"/>
            <family val="2"/>
            <scheme val="minor"/>
          </rPr>
          <t>Deduction Item</t>
        </r>
      </text>
    </comment>
    <comment ref="N2" authorId="0" shapeId="0" xr:uid="{3D62E83E-B711-42CF-99D7-9919EBAE6844}">
      <text>
        <r>
          <rPr>
            <sz val="11"/>
            <color indexed="8"/>
            <rFont val="Tahoma"/>
            <family val="2"/>
            <scheme val="minor"/>
          </rPr>
          <t>No payment</t>
        </r>
      </text>
    </comment>
    <comment ref="O2" authorId="0" shapeId="0" xr:uid="{1A0849AA-60C2-466F-A0DE-E5983429AF0E}">
      <text>
        <r>
          <rPr>
            <sz val="11"/>
            <color indexed="8"/>
            <rFont val="Tahoma"/>
            <family val="2"/>
            <scheme val="minor"/>
          </rPr>
          <t>Partial Calculation</t>
        </r>
      </text>
    </comment>
    <comment ref="P2" authorId="0" shapeId="0" xr:uid="{FDBB2BDA-E42F-4473-9369-88D90A947779}">
      <text>
        <r>
          <rPr>
            <sz val="11"/>
            <color indexed="8"/>
            <rFont val="Tahoma"/>
            <family val="2"/>
            <scheme val="minor"/>
          </rPr>
          <t>เงื่อนไขการปัดเศษ</t>
        </r>
      </text>
    </comment>
    <comment ref="Q2" authorId="0" shapeId="0" xr:uid="{FA283AB6-544B-4441-AF85-808815C75F61}">
      <text>
        <r>
          <rPr>
            <sz val="11"/>
            <color indexed="8"/>
            <rFont val="Tahoma"/>
            <family val="2"/>
            <scheme val="minor"/>
          </rPr>
          <t>Entitlement Date</t>
        </r>
      </text>
    </comment>
    <comment ref="R2" authorId="0" shapeId="0" xr:uid="{BAD5A7BF-391C-4C65-9BA1-2353AF310744}">
      <text>
        <r>
          <rPr>
            <sz val="11"/>
            <color indexed="8"/>
            <rFont val="Tahoma"/>
            <family val="2"/>
            <scheme val="minor"/>
          </rPr>
          <t>ลำดับขั้นสวัสดิการ</t>
        </r>
      </text>
    </comment>
    <comment ref="S2" authorId="0" shapeId="0" xr:uid="{E49F9B4C-066F-4975-ABB5-7D9D30433EFA}">
      <text>
        <r>
          <rPr>
            <sz val="11"/>
            <color indexed="8"/>
            <rFont val="Tahoma"/>
            <family val="2"/>
            <scheme val="minor"/>
          </rPr>
          <t>Training Expense Order</t>
        </r>
      </text>
    </comment>
    <comment ref="T2" authorId="0" shapeId="0" xr:uid="{43F73A5A-9F61-4D07-BA0A-8739FD3B7391}">
      <text>
        <r>
          <rPr>
            <sz val="11"/>
            <color indexed="8"/>
            <rFont val="Tahoma"/>
            <family val="2"/>
            <scheme val="minor"/>
          </rPr>
          <t>รหัส Flow</t>
        </r>
      </text>
    </comment>
    <comment ref="U2" authorId="0" shapeId="0" xr:uid="{370F7488-E2B7-482B-9AC3-3233D43BAA7E}">
      <text>
        <r>
          <rPr>
            <sz val="11"/>
            <color indexed="8"/>
            <rFont val="Tahoma"/>
            <family val="2"/>
            <scheme val="minor"/>
          </rPr>
          <t>ลำดับ</t>
        </r>
      </text>
    </comment>
    <comment ref="V2" authorId="0" shapeId="0" xr:uid="{097C5951-C1B0-4B77-83A9-E015D758B6D7}">
      <text>
        <r>
          <rPr>
            <sz val="11"/>
            <color indexed="8"/>
            <rFont val="Tahoma"/>
            <family val="2"/>
            <scheme val="minor"/>
          </rPr>
          <t>รายการ</t>
        </r>
      </text>
    </comment>
    <comment ref="W2" authorId="0" shapeId="0" xr:uid="{1E157F9A-8759-414C-B562-21FF7F6891F8}">
      <text>
        <r>
          <rPr>
            <sz val="11"/>
            <color indexed="8"/>
            <rFont val="Tahoma"/>
            <family val="2"/>
            <scheme val="minor"/>
          </rPr>
          <t>Accounting Area</t>
        </r>
      </text>
    </comment>
    <comment ref="X2" authorId="0" shapeId="0" xr:uid="{E6324086-39FB-4FB6-9AA2-7CDC42AC1CA8}">
      <text>
        <r>
          <rPr>
            <sz val="11"/>
            <color indexed="8"/>
            <rFont val="Tahoma"/>
            <family val="2"/>
            <scheme val="minor"/>
          </rPr>
          <t>Price</t>
        </r>
      </text>
    </comment>
    <comment ref="Y2" authorId="0" shapeId="0" xr:uid="{73A4588D-7747-40D0-8E4D-F32B5C988710}">
      <text>
        <r>
          <rPr>
            <sz val="11"/>
            <color indexed="8"/>
            <rFont val="Tahoma"/>
            <family val="2"/>
            <scheme val="minor"/>
          </rPr>
          <t>Employee choose PVF rate</t>
        </r>
      </text>
    </comment>
    <comment ref="Z2" authorId="0" shapeId="0" xr:uid="{801B8981-63F1-4598-876D-C69F60E2DFA2}">
      <text>
        <r>
          <rPr>
            <sz val="11"/>
            <color indexed="8"/>
            <rFont val="Tahoma"/>
            <family val="2"/>
            <scheme val="minor"/>
          </rPr>
          <t>สกุลเงิน</t>
        </r>
      </text>
    </comment>
    <comment ref="AA2" authorId="0" shapeId="0" xr:uid="{764FD65A-6C16-4423-8BA9-DD34B87558E5}">
      <text>
        <r>
          <rPr>
            <sz val="11"/>
            <color indexed="8"/>
            <rFont val="Tahoma"/>
            <family val="2"/>
            <scheme val="minor"/>
          </rPr>
          <t>Tags Value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eUnite</author>
  </authors>
  <commentList>
    <comment ref="B1" authorId="0" shapeId="0" xr:uid="{863CB56F-2377-495D-8800-971D504A048F}">
      <text>
        <r>
          <rPr>
            <b/>
            <sz val="9"/>
            <color indexed="81"/>
            <rFont val="Tahoma"/>
            <family val="2"/>
          </rPr>
          <t>eUnite:</t>
        </r>
        <r>
          <rPr>
            <sz val="9"/>
            <color indexed="81"/>
            <rFont val="Tahoma"/>
            <family val="2"/>
          </rPr>
          <t xml:space="preserve">
พนักงานรายวัน ใส่รหัสเก่าในช่อง CardNo</t>
        </r>
      </text>
    </comment>
    <comment ref="N1" authorId="0" shapeId="0" xr:uid="{CA294761-DBC2-40EA-91EA-B9DFC2FDE7DE}">
      <text>
        <r>
          <rPr>
            <b/>
            <sz val="9"/>
            <color indexed="81"/>
            <rFont val="Tahoma"/>
            <family val="2"/>
          </rPr>
          <t>eUnite:</t>
        </r>
        <r>
          <rPr>
            <sz val="9"/>
            <color indexed="81"/>
            <rFont val="Tahoma"/>
            <family val="2"/>
          </rPr>
          <t xml:space="preserve">
ไม่ต้องใส่</t>
        </r>
      </text>
    </comment>
    <comment ref="P1" authorId="0" shapeId="0" xr:uid="{1B01480F-A6F2-4613-B942-E2ABA062789D}">
      <text>
        <r>
          <rPr>
            <b/>
            <sz val="9"/>
            <color indexed="81"/>
            <rFont val="Tahoma"/>
            <family val="2"/>
          </rPr>
          <t>H:Hire;P:Promote;M:Movement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" authorId="0" shapeId="0" xr:uid="{CD4FEACC-8935-4750-A463-3A07CCC80168}">
      <text>
        <r>
          <rPr>
            <b/>
            <sz val="9"/>
            <color indexed="81"/>
            <rFont val="Tahoma"/>
            <family val="2"/>
          </rPr>
          <t>M:Main;A:Acting</t>
        </r>
      </text>
    </comment>
    <comment ref="R1" authorId="0" shapeId="0" xr:uid="{728DB1A9-CE96-4553-9F49-485BC9AFA989}">
      <text>
        <r>
          <rPr>
            <b/>
            <sz val="9"/>
            <color indexed="81"/>
            <rFont val="Tahoma"/>
            <family val="2"/>
          </rPr>
          <t>eUnite:</t>
        </r>
        <r>
          <rPr>
            <sz val="9"/>
            <color indexed="81"/>
            <rFont val="Tahoma"/>
            <family val="2"/>
          </rPr>
          <t xml:space="preserve">
คำนวณ วันครบทดลองงานย้อนหลัง 119 วัน</t>
        </r>
      </text>
    </comment>
    <comment ref="CI1" authorId="0" shapeId="0" xr:uid="{6EFDD895-214C-4EA2-96E0-B0E7B0423964}">
      <text>
        <r>
          <rPr>
            <b/>
            <sz val="9"/>
            <color indexed="81"/>
            <rFont val="Tahoma"/>
            <family val="2"/>
          </rPr>
          <t>eUnite:</t>
        </r>
        <r>
          <rPr>
            <sz val="9"/>
            <color indexed="81"/>
            <rFont val="Tahoma"/>
            <family val="2"/>
          </rPr>
          <t xml:space="preserve">
Sheet Structure Unit  
คอลัมน์ A</t>
        </r>
      </text>
    </comment>
  </commentList>
</comments>
</file>

<file path=xl/sharedStrings.xml><?xml version="1.0" encoding="utf-8"?>
<sst xmlns="http://schemas.openxmlformats.org/spreadsheetml/2006/main" count="1357" uniqueCount="534">
  <si>
    <t>เรียน Dev</t>
  </si>
  <si>
    <t>Environment :</t>
  </si>
  <si>
    <t>Account</t>
  </si>
  <si>
    <t>THBEV_SAB (SQL)</t>
  </si>
  <si>
    <t>User login</t>
  </si>
  <si>
    <t>sa.thbev_sabas1@eunite.com</t>
  </si>
  <si>
    <t>Role</t>
  </si>
  <si>
    <t xml:space="preserve">รายละเอียด </t>
  </si>
  <si>
    <t>Payroll</t>
  </si>
  <si>
    <t>สร้างหน้าจอใหม่ ชื่อ Time Arrears Calculator (ThaiBev)</t>
  </si>
  <si>
    <t>Entity Type = Report</t>
  </si>
  <si>
    <t>Record Type = THBEV_RM_ArrearCal  , Group Menu = Payroll-Operation , Order = 10</t>
  </si>
  <si>
    <t>1. หน้าจอ คำนวณเงินตกเบิกของ Time ที่มาจาก TMS กรณีปรับเงินเดือนย้อนหลัง</t>
  </si>
  <si>
    <t>No.</t>
  </si>
  <si>
    <t>ชื่อคอลัมน์</t>
  </si>
  <si>
    <t>Required</t>
  </si>
  <si>
    <t>คำอธิบาย</t>
  </si>
  <si>
    <t>จากวันที่</t>
  </si>
  <si>
    <t>Yes</t>
  </si>
  <si>
    <t>ถึงวันที่</t>
  </si>
  <si>
    <t>วันที่มีผล</t>
  </si>
  <si>
    <t>สำหรับระบุวันที่มีผล ของการเงินตกเบิก ที่จะระบุไว้ที่หน้าจอเงินเพิ่ม-หัก ครั้งเดียว สำหรับประมวลผลเงินเดือน</t>
  </si>
  <si>
    <t>โดยวันที่มีผล จะต้องเลือกให้อยู่ในช่วงของรอบเงินเดือนของพนักงานเท่านั้น</t>
  </si>
  <si>
    <t>หากเลือกวันที่มีผล เป็นวันที่ในช่วงรอบเงินเดือนอื่น เงินตกเบิกจะไม่ถูกคำนวณในรอบเงินเดือนที่ต้องการ แต่จะไปรันในรอบอื่นแทน</t>
  </si>
  <si>
    <t>บริษัท</t>
  </si>
  <si>
    <t>No</t>
  </si>
  <si>
    <t xml:space="preserve">ระบุบริษัท </t>
  </si>
  <si>
    <t>พนักงาน</t>
  </si>
  <si>
    <t xml:space="preserve">ระบุพนักงาน </t>
  </si>
  <si>
    <t>Action</t>
  </si>
  <si>
    <t>- No = กรณี ที่ต้องการเรียกรายงาน หรือส่งออก Excel โดยที่ยัง ไม่ส่งข้อมูลเงินตกเบิก เข้าหน้าจอเงินเพิ่ม-หัก ครั้งเดียว สำหรับประมวลผลเงินเดือน</t>
  </si>
  <si>
    <t>- Yes = กรณี ที่ต้องการเรียกรายงาน หรือส่งออก Excel พร้อมกับส่งข้อมูลเงินตกเบิก เข้าหน้าจอเงินเพิ่ม-หัก ครั้งเดียว สำหรับประมวลผลเงินเดือน</t>
  </si>
  <si>
    <t>สถานประกอบการ</t>
  </si>
  <si>
    <t>ระบุสถานประกอบการ</t>
  </si>
  <si>
    <t>ที่ตั้ง</t>
  </si>
  <si>
    <t xml:space="preserve">ระบุที่ตั้ง </t>
  </si>
  <si>
    <t>หน่วยงาน (ระดับ 1)</t>
  </si>
  <si>
    <t xml:space="preserve">ระบุหน่วยงานระดับที่ 1 </t>
  </si>
  <si>
    <t>หน่วยงาน (ระดับ 2)</t>
  </si>
  <si>
    <t xml:space="preserve">ระบุหน่วยงานระดับที่ 2 </t>
  </si>
  <si>
    <t>หน่วยงาน (ระดับ 3)</t>
  </si>
  <si>
    <t xml:space="preserve">ระบุหน่วยงานระดับที่ 3 </t>
  </si>
  <si>
    <t>หน่วยงาน (ระดับ 4)</t>
  </si>
  <si>
    <t>ระบุหน่วยงานระดับที่ 4</t>
  </si>
  <si>
    <t>หน่วยงาน (ระดับ 5)</t>
  </si>
  <si>
    <t xml:space="preserve">ระบุหน่วยงานระดับที่ 5 </t>
  </si>
  <si>
    <t>หน่วยงาน (ระดับ 6)</t>
  </si>
  <si>
    <t>ระบุหน่วยงานระดับที่ 6</t>
  </si>
  <si>
    <t>ตำแหน่ง</t>
  </si>
  <si>
    <t>ระบุตำแหน่ง</t>
  </si>
  <si>
    <t>ระดับพนักงาน</t>
  </si>
  <si>
    <t>ระบุระดับพนักงาน</t>
  </si>
  <si>
    <t>ประเภทพนักงาน</t>
  </si>
  <si>
    <t>ระบุประเภทพนักงาน</t>
  </si>
  <si>
    <t>กลุ่มพนักงาน</t>
  </si>
  <si>
    <t>ระบุกลุ่มพนักงาน</t>
  </si>
  <si>
    <t>หน่วยปฏิบัติการ</t>
  </si>
  <si>
    <t>ระบุหน่วยปฏิบัติการ</t>
  </si>
  <si>
    <t>Preferred Name Option</t>
  </si>
  <si>
    <t>เลือกให้แสดง ชื่อ หรือชื่อ (Alt) ในรายงาน</t>
  </si>
  <si>
    <t>Preferred Prefix Option</t>
  </si>
  <si>
    <t>เลือกให้แสดง ชื่อ-นามสกุล หรือแสดงทั้งคำนำหน้า พร้อม ชื่อ-นามสกุล ในรายงาน</t>
  </si>
  <si>
    <r>
      <t>สำหรับระบุ</t>
    </r>
    <r>
      <rPr>
        <sz val="8"/>
        <color rgb="FF0070C0"/>
        <rFont val="Tahoma"/>
        <family val="2"/>
        <scheme val="major"/>
      </rPr>
      <t>วันที่มีผล</t>
    </r>
    <r>
      <rPr>
        <sz val="8"/>
        <color theme="1"/>
        <rFont val="Tahoma"/>
        <family val="2"/>
        <scheme val="major"/>
      </rPr>
      <t xml:space="preserve"> เริ่มของ Time ที่ต้องการนำมาคำนวณตกเบิก</t>
    </r>
  </si>
  <si>
    <r>
      <t>สำหรับระบุ</t>
    </r>
    <r>
      <rPr>
        <sz val="8"/>
        <color rgb="FF0070C0"/>
        <rFont val="Tahoma"/>
        <family val="2"/>
        <scheme val="major"/>
      </rPr>
      <t>วันที่มีผล</t>
    </r>
    <r>
      <rPr>
        <sz val="8"/>
        <color theme="1"/>
        <rFont val="Tahoma"/>
        <family val="2"/>
        <scheme val="major"/>
      </rPr>
      <t xml:space="preserve"> สิ้นสุดของ Time ที่ต้องการนำมาคำนวณตกเบิก</t>
    </r>
  </si>
  <si>
    <r>
      <t xml:space="preserve">ตัวเลือกคือ Yes และ No </t>
    </r>
    <r>
      <rPr>
        <sz val="8"/>
        <color rgb="FF0070C0"/>
        <rFont val="Tahoma"/>
        <family val="2"/>
        <scheme val="major"/>
      </rPr>
      <t xml:space="preserve">โดยให้ระบบ Default = No </t>
    </r>
  </si>
  <si>
    <t>1.2 คอลัมน์แสดงผล ที่หน้าจอ และ ส่งออก Excel</t>
  </si>
  <si>
    <t>1.1 Tab ตัวกรอง</t>
  </si>
  <si>
    <t>ตัวอย่าง</t>
  </si>
  <si>
    <t>แสดงข้อมูล ชื่อบริษัท ของพนักงาน</t>
  </si>
  <si>
    <t>Thai Beverage PLC.</t>
  </si>
  <si>
    <t>ชื่อหน่วยงาน (ระดับ 2)</t>
  </si>
  <si>
    <t>Central Administration Support Management</t>
  </si>
  <si>
    <t>ชื่อหน่วยงาน (ระดับ 3)</t>
  </si>
  <si>
    <t>Contractor Services</t>
  </si>
  <si>
    <t>ชื่อหน่วยงาน (ระดับ 4)</t>
  </si>
  <si>
    <t>CENTRAL - Ratchaburi</t>
  </si>
  <si>
    <t>Employee Code</t>
  </si>
  <si>
    <t>แสดง รหัสพนักงาน ของพนักงาน</t>
  </si>
  <si>
    <t>Employee Name</t>
  </si>
  <si>
    <t>แสดง ชื่อ-นามสกุล ของพนักงาน</t>
  </si>
  <si>
    <t>เคท วิลเลียม</t>
  </si>
  <si>
    <t>Position</t>
  </si>
  <si>
    <t>แสดง ตำแหน่ง ของพนักงาน</t>
  </si>
  <si>
    <t>เจ้าหน้าที่บุคคล</t>
  </si>
  <si>
    <t>Employee Level</t>
  </si>
  <si>
    <t>แสดง ระดับพนักงาน ของพนักงาน</t>
  </si>
  <si>
    <t>B1</t>
  </si>
  <si>
    <t>Employment Type</t>
  </si>
  <si>
    <t>แสดง ประเภทการจ้างงาน ของพนักงาน</t>
  </si>
  <si>
    <t>จ้างประจำ</t>
  </si>
  <si>
    <t>Pay Type</t>
  </si>
  <si>
    <t>แสดง ประเภทการจ่าย ของพนักงาน</t>
  </si>
  <si>
    <t>รายเดือน</t>
  </si>
  <si>
    <t>Employee Type</t>
  </si>
  <si>
    <t>แสดง ประเภทพนักงาน ของพนักงาน</t>
  </si>
  <si>
    <t>จ้างประจำ รายเดือน</t>
  </si>
  <si>
    <t>Employee Group</t>
  </si>
  <si>
    <t>แสดง กลุ่มพนักงาน ของพนักงาน</t>
  </si>
  <si>
    <t>QSA-RSC (ออฟฟิศ)</t>
  </si>
  <si>
    <t>Basic Salary</t>
  </si>
  <si>
    <t>แสดงฐานเงินดือนเดิม ของพนักงาน</t>
  </si>
  <si>
    <t>Basic Salary (New)</t>
  </si>
  <si>
    <t>แสดงฐานเงินดือนใหม่ ของพนักงาน</t>
  </si>
  <si>
    <t>Basic Salary (Retro Pay)</t>
  </si>
  <si>
    <t>แสดงยอด เงินเดือน ที่จะตกเบิกให้กับพนักงาน</t>
  </si>
  <si>
    <t>แสดงยอดเงิน หักลาเกินสิทธิ์ ตามวันที่ทำงาน ที่ Interface จาก TMS เข้ามา โดยเป็นฐานเงินเดือนเดิม ที่คำนวณหักไว้ในระบบ @core</t>
  </si>
  <si>
    <t>แสดงยอดเงิน หักลาเกินสิทธิ์ โดยคำนวณจากฐานเงินเดือนใหม่</t>
  </si>
  <si>
    <t>ตามวันที่ทำงาน ที่ Interface จาก TMS เข้ามา</t>
  </si>
  <si>
    <t>แสดงยอดเงิน หักลาเกินสิทธิ์ที่ต้องตกเบิกให้กับพนักงาน</t>
  </si>
  <si>
    <t>ค่าล่วงเวลา 1 เท่า</t>
  </si>
  <si>
    <t>ค่าล่วงเวลา 1 เท่า (New)</t>
  </si>
  <si>
    <t>ค่าล่วงเวลา 2 เท่า</t>
  </si>
  <si>
    <t>ค่าล่วงเวลา 2 เท่า (New)</t>
  </si>
  <si>
    <t>ค่าล่วงเวลา 1.5 เท่า</t>
  </si>
  <si>
    <t>ค่าล่วงเวลา 1.5 เท่า (New)</t>
  </si>
  <si>
    <t>ค่าล่วงเวลา 3 เท่า</t>
  </si>
  <si>
    <t>ค่าล่วงเวลา 3 เท่า (New)</t>
  </si>
  <si>
    <t>หักพักงาน</t>
  </si>
  <si>
    <t>แสดงยอดเงิน หักพักงาน ตามวันที่ทำงาน ที่ Interface จาก TMS เข้ามา โดยเป็นฐานเงินเดือนเดิม ที่คำนวณหักไว้ในระบบ @core</t>
  </si>
  <si>
    <t>แสดงยอดเงิน หักพักงาน โดยคำนวณจากฐานเงินเดือนใหม่</t>
  </si>
  <si>
    <t xml:space="preserve">แสดงยอดเงิน หักพักงาน ที่ต้องตกเบิกให้กับพนักงาน </t>
  </si>
  <si>
    <t>ค่าจ้าง</t>
  </si>
  <si>
    <t>แสดงยอดเงิน ค่าจ้าง ตามวันที่ทำงาน ที่ Interface จาก TMS เข้ามา โดยเป็นฐานเงินเดือนเดิม ที่คำนวณหักไว้ในระบบ @core</t>
  </si>
  <si>
    <t>แสดงยอดเงิน ค่าจ้าง โดยคำนวณจากฐานเงินเดือนใหม่</t>
  </si>
  <si>
    <t xml:space="preserve">แสดงยอดเงิน ค่าจ้าง ที่ต้องตกเบิกให้กับพนักงาน </t>
  </si>
  <si>
    <t>หักขาดงาน</t>
  </si>
  <si>
    <t>หักขาดงาน (New)</t>
  </si>
  <si>
    <t>หักมาสาย</t>
  </si>
  <si>
    <t>หักมาสาย (New)</t>
  </si>
  <si>
    <t>หักกลับก่อน</t>
  </si>
  <si>
    <t>หักกลับก่อน (New)</t>
  </si>
  <si>
    <r>
      <t>หักลาเกินสิทธิ์</t>
    </r>
    <r>
      <rPr>
        <sz val="8"/>
        <color rgb="FF000000"/>
        <rFont val="Tahoma"/>
        <family val="2"/>
        <scheme val="major"/>
      </rPr>
      <t xml:space="preserve"> </t>
    </r>
  </si>
  <si>
    <r>
      <t>หักลาเกินสิทธิ์</t>
    </r>
    <r>
      <rPr>
        <sz val="8"/>
        <color rgb="FF000000"/>
        <rFont val="Tahoma"/>
        <family val="2"/>
        <scheme val="major"/>
      </rPr>
      <t xml:space="preserve"> (New)</t>
    </r>
  </si>
  <si>
    <r>
      <t>หักลาเกินสิทธิ์</t>
    </r>
    <r>
      <rPr>
        <sz val="8"/>
        <color rgb="FF000000"/>
        <rFont val="Tahoma"/>
        <family val="2"/>
        <scheme val="major"/>
      </rPr>
      <t xml:space="preserve"> </t>
    </r>
    <r>
      <rPr>
        <sz val="8"/>
        <color theme="1"/>
        <rFont val="Tahoma"/>
        <family val="2"/>
        <scheme val="major"/>
      </rPr>
      <t>(Retro Pay)</t>
    </r>
  </si>
  <si>
    <r>
      <t xml:space="preserve">แสดงยอดเงิน </t>
    </r>
    <r>
      <rPr>
        <sz val="8"/>
        <color rgb="FF000000"/>
        <rFont val="Tahoma"/>
        <family val="2"/>
        <scheme val="major"/>
      </rPr>
      <t xml:space="preserve">ค่าล่วงเวลา 1 เท่า </t>
    </r>
    <r>
      <rPr>
        <sz val="8"/>
        <color theme="1"/>
        <rFont val="Tahoma"/>
        <family val="2"/>
        <scheme val="major"/>
      </rPr>
      <t>ตามวันที่ทำงาน ที่ Interface จาก TMS เข้ามา โดยเป็นฐานเงินเดือนเดิม ที่คำนวณหักไว้ในระบบ @core</t>
    </r>
  </si>
  <si>
    <r>
      <t xml:space="preserve">แสดงยอดเงิน </t>
    </r>
    <r>
      <rPr>
        <sz val="8"/>
        <color rgb="FF000000"/>
        <rFont val="Tahoma"/>
        <family val="2"/>
        <scheme val="major"/>
      </rPr>
      <t>ค่าล่วงเวลา 1 เท่า</t>
    </r>
    <r>
      <rPr>
        <sz val="8"/>
        <color theme="1"/>
        <rFont val="Tahoma"/>
        <family val="2"/>
        <scheme val="major"/>
      </rPr>
      <t xml:space="preserve"> โดยคำนวณจากฐานเงินเดือนใหม่</t>
    </r>
  </si>
  <si>
    <r>
      <t xml:space="preserve">ค่าล่วงเวลา 1 เท่า </t>
    </r>
    <r>
      <rPr>
        <sz val="8"/>
        <color theme="1"/>
        <rFont val="Tahoma"/>
        <family val="2"/>
        <scheme val="major"/>
      </rPr>
      <t>(Retro Pay)</t>
    </r>
  </si>
  <si>
    <r>
      <t xml:space="preserve">แสดงยอดเงิน </t>
    </r>
    <r>
      <rPr>
        <sz val="8"/>
        <color rgb="FF000000"/>
        <rFont val="Tahoma"/>
        <family val="2"/>
        <scheme val="major"/>
      </rPr>
      <t xml:space="preserve">ค่าล่วงเวลา 1 เท่า </t>
    </r>
    <r>
      <rPr>
        <sz val="8"/>
        <color theme="1"/>
        <rFont val="Tahoma"/>
        <family val="2"/>
        <scheme val="major"/>
      </rPr>
      <t xml:space="preserve">ที่ต้องตกเบิกให้กับพนักงาน </t>
    </r>
  </si>
  <si>
    <r>
      <t xml:space="preserve">แสดงยอดเงิน </t>
    </r>
    <r>
      <rPr>
        <sz val="8"/>
        <color rgb="FF000000"/>
        <rFont val="Tahoma"/>
        <family val="2"/>
        <scheme val="major"/>
      </rPr>
      <t xml:space="preserve">ค่าล่วงเวลา 2 เท่า </t>
    </r>
    <r>
      <rPr>
        <sz val="8"/>
        <color theme="1"/>
        <rFont val="Tahoma"/>
        <family val="2"/>
        <scheme val="major"/>
      </rPr>
      <t>ตามวันที่ทำงาน ที่ Interface จาก TMS เข้ามา โดยเป็นฐานเงินเดือนเดิม ที่คำนวณหักไว้ในระบบ @core</t>
    </r>
  </si>
  <si>
    <r>
      <t xml:space="preserve">แสดงยอดเงิน </t>
    </r>
    <r>
      <rPr>
        <sz val="8"/>
        <color rgb="FF000000"/>
        <rFont val="Tahoma"/>
        <family val="2"/>
        <scheme val="major"/>
      </rPr>
      <t>ค่าล่วงเวลา 2 เท่า</t>
    </r>
    <r>
      <rPr>
        <sz val="8"/>
        <color theme="1"/>
        <rFont val="Tahoma"/>
        <family val="2"/>
        <scheme val="major"/>
      </rPr>
      <t xml:space="preserve"> โดยคำนวณจากฐานเงินเดือนใหม่</t>
    </r>
  </si>
  <si>
    <r>
      <t xml:space="preserve">ค่าล่วงเวลา 2 เท่า </t>
    </r>
    <r>
      <rPr>
        <sz val="8"/>
        <color theme="1"/>
        <rFont val="Tahoma"/>
        <family val="2"/>
        <scheme val="major"/>
      </rPr>
      <t>(Retro Pay)</t>
    </r>
  </si>
  <si>
    <r>
      <t xml:space="preserve">แสดงยอดเงิน </t>
    </r>
    <r>
      <rPr>
        <sz val="8"/>
        <color rgb="FF000000"/>
        <rFont val="Tahoma"/>
        <family val="2"/>
        <scheme val="major"/>
      </rPr>
      <t xml:space="preserve">ค่าล่วงเวลา 2 เท่า </t>
    </r>
    <r>
      <rPr>
        <sz val="8"/>
        <color theme="1"/>
        <rFont val="Tahoma"/>
        <family val="2"/>
        <scheme val="major"/>
      </rPr>
      <t xml:space="preserve">ที่ต้องตกเบิกให้กับพนักงาน </t>
    </r>
  </si>
  <si>
    <r>
      <t xml:space="preserve">แสดงยอดเงิน </t>
    </r>
    <r>
      <rPr>
        <sz val="8"/>
        <color rgb="FF000000"/>
        <rFont val="Tahoma"/>
        <family val="2"/>
        <scheme val="major"/>
      </rPr>
      <t xml:space="preserve">ค่าล่วงเวลา 1.5 เท่า </t>
    </r>
    <r>
      <rPr>
        <sz val="8"/>
        <color theme="1"/>
        <rFont val="Tahoma"/>
        <family val="2"/>
        <scheme val="major"/>
      </rPr>
      <t>ตามวันที่ทำงาน ที่ Interface จาก TMS เข้ามา โดยเป็นฐานเงินเดือนเดิม ที่คำนวณหักไว้ในระบบ @core</t>
    </r>
  </si>
  <si>
    <r>
      <t xml:space="preserve">แสดงยอดเงิน </t>
    </r>
    <r>
      <rPr>
        <sz val="8"/>
        <color rgb="FF000000"/>
        <rFont val="Tahoma"/>
        <family val="2"/>
        <scheme val="major"/>
      </rPr>
      <t>ค่าล่วงเวลา 1.5 เท่า</t>
    </r>
    <r>
      <rPr>
        <sz val="8"/>
        <color theme="1"/>
        <rFont val="Tahoma"/>
        <family val="2"/>
        <scheme val="major"/>
      </rPr>
      <t xml:space="preserve"> โดยคำนวณจากฐานเงินเดือนใหม่</t>
    </r>
  </si>
  <si>
    <r>
      <t xml:space="preserve">ค่าล่วงเวลา 1.5 เท่า </t>
    </r>
    <r>
      <rPr>
        <sz val="8"/>
        <color theme="1"/>
        <rFont val="Tahoma"/>
        <family val="2"/>
        <scheme val="major"/>
      </rPr>
      <t>(Retro Pay)</t>
    </r>
  </si>
  <si>
    <r>
      <t xml:space="preserve">แสดงยอดเงิน </t>
    </r>
    <r>
      <rPr>
        <sz val="8"/>
        <color rgb="FF000000"/>
        <rFont val="Tahoma"/>
        <family val="2"/>
        <scheme val="major"/>
      </rPr>
      <t xml:space="preserve">ค่าล่วงเวลา 1.5 เท่า </t>
    </r>
    <r>
      <rPr>
        <sz val="8"/>
        <color theme="1"/>
        <rFont val="Tahoma"/>
        <family val="2"/>
        <scheme val="major"/>
      </rPr>
      <t xml:space="preserve">ที่ต้องตกเบิกให้กับพนักงาน </t>
    </r>
  </si>
  <si>
    <r>
      <t xml:space="preserve">แสดงยอดเงิน </t>
    </r>
    <r>
      <rPr>
        <sz val="8"/>
        <color rgb="FF000000"/>
        <rFont val="Tahoma"/>
        <family val="2"/>
        <scheme val="major"/>
      </rPr>
      <t xml:space="preserve">ค่าล่วงเวลา 3 เท่า </t>
    </r>
    <r>
      <rPr>
        <sz val="8"/>
        <color theme="1"/>
        <rFont val="Tahoma"/>
        <family val="2"/>
        <scheme val="major"/>
      </rPr>
      <t>ตามวันที่ทำงาน ที่ Interface จาก TMS เข้ามา โดยเป็นฐานเงินเดือนเดิม ที่คำนวณหักไว้ในระบบ @core</t>
    </r>
  </si>
  <si>
    <r>
      <t xml:space="preserve">แสดงยอดเงิน </t>
    </r>
    <r>
      <rPr>
        <sz val="8"/>
        <color rgb="FF000000"/>
        <rFont val="Tahoma"/>
        <family val="2"/>
        <scheme val="major"/>
      </rPr>
      <t>ค่าล่วงเวลา 3 เท่า</t>
    </r>
    <r>
      <rPr>
        <sz val="8"/>
        <color theme="1"/>
        <rFont val="Tahoma"/>
        <family val="2"/>
        <scheme val="major"/>
      </rPr>
      <t xml:space="preserve"> โดยคำนวณจากฐานเงินเดือนใหม่</t>
    </r>
  </si>
  <si>
    <r>
      <t xml:space="preserve">ค่าล่วงเวลา 3 เท่า </t>
    </r>
    <r>
      <rPr>
        <sz val="8"/>
        <color theme="1"/>
        <rFont val="Tahoma"/>
        <family val="2"/>
        <scheme val="major"/>
      </rPr>
      <t>(Retro Pay)</t>
    </r>
  </si>
  <si>
    <r>
      <t xml:space="preserve">แสดงยอดเงิน </t>
    </r>
    <r>
      <rPr>
        <sz val="8"/>
        <color rgb="FF000000"/>
        <rFont val="Tahoma"/>
        <family val="2"/>
        <scheme val="major"/>
      </rPr>
      <t xml:space="preserve">ค่าล่วงเวลา 3 เท่า </t>
    </r>
    <r>
      <rPr>
        <sz val="8"/>
        <color theme="1"/>
        <rFont val="Tahoma"/>
        <family val="2"/>
        <scheme val="major"/>
      </rPr>
      <t xml:space="preserve">ที่ต้องตกเบิกให้กับพนักงาน </t>
    </r>
  </si>
  <si>
    <r>
      <t>หักพักงาน</t>
    </r>
    <r>
      <rPr>
        <sz val="8"/>
        <color rgb="FF000000"/>
        <rFont val="Tahoma"/>
        <family val="2"/>
        <scheme val="major"/>
      </rPr>
      <t xml:space="preserve"> (New)</t>
    </r>
  </si>
  <si>
    <r>
      <t>หักพักงาน</t>
    </r>
    <r>
      <rPr>
        <sz val="8"/>
        <color rgb="FF000000"/>
        <rFont val="Tahoma"/>
        <family val="2"/>
        <scheme val="major"/>
      </rPr>
      <t xml:space="preserve"> </t>
    </r>
    <r>
      <rPr>
        <sz val="8"/>
        <color theme="1"/>
        <rFont val="Tahoma"/>
        <family val="2"/>
        <scheme val="major"/>
      </rPr>
      <t>(Retro Pay)</t>
    </r>
  </si>
  <si>
    <r>
      <t>ค่าจ้าง</t>
    </r>
    <r>
      <rPr>
        <sz val="8"/>
        <color rgb="FF000000"/>
        <rFont val="Tahoma"/>
        <family val="2"/>
        <scheme val="major"/>
      </rPr>
      <t xml:space="preserve"> (New)</t>
    </r>
  </si>
  <si>
    <r>
      <t>ค่าจ้าง</t>
    </r>
    <r>
      <rPr>
        <sz val="8"/>
        <color rgb="FF000000"/>
        <rFont val="Tahoma"/>
        <family val="2"/>
        <scheme val="major"/>
      </rPr>
      <t xml:space="preserve"> </t>
    </r>
    <r>
      <rPr>
        <sz val="8"/>
        <color theme="1"/>
        <rFont val="Tahoma"/>
        <family val="2"/>
        <scheme val="major"/>
      </rPr>
      <t>(Retro Pay)</t>
    </r>
  </si>
  <si>
    <r>
      <t xml:space="preserve">แสดงยอดเงิน </t>
    </r>
    <r>
      <rPr>
        <sz val="8"/>
        <color rgb="FF000000"/>
        <rFont val="Tahoma"/>
        <family val="2"/>
        <scheme val="major"/>
      </rPr>
      <t>หักขาดงาน</t>
    </r>
    <r>
      <rPr>
        <sz val="8"/>
        <color theme="1"/>
        <rFont val="Tahoma"/>
        <family val="2"/>
        <scheme val="major"/>
      </rPr>
      <t xml:space="preserve"> ตามวันที่ทำงาน ที่ Interface จาก TMS เข้ามา โดยเป็นฐานเงินเดือนเดิม ที่คำนวณหักไว้ในระบบ @core</t>
    </r>
  </si>
  <si>
    <r>
      <t xml:space="preserve">แสดงยอดเงิน </t>
    </r>
    <r>
      <rPr>
        <sz val="8"/>
        <color rgb="FF000000"/>
        <rFont val="Tahoma"/>
        <family val="2"/>
        <scheme val="major"/>
      </rPr>
      <t>หักขาดงาน</t>
    </r>
    <r>
      <rPr>
        <sz val="8"/>
        <color theme="1"/>
        <rFont val="Tahoma"/>
        <family val="2"/>
        <scheme val="major"/>
      </rPr>
      <t xml:space="preserve"> โดยคำนวณจากฐานเงินเดือนใหม่</t>
    </r>
  </si>
  <si>
    <r>
      <t xml:space="preserve">หักขาดงาน </t>
    </r>
    <r>
      <rPr>
        <sz val="8"/>
        <color theme="1"/>
        <rFont val="Tahoma"/>
        <family val="2"/>
        <scheme val="major"/>
      </rPr>
      <t>(Retro Pay)</t>
    </r>
  </si>
  <si>
    <r>
      <t xml:space="preserve">แสดงยอดเงิน </t>
    </r>
    <r>
      <rPr>
        <sz val="8"/>
        <color rgb="FF000000"/>
        <rFont val="Tahoma"/>
        <family val="2"/>
        <scheme val="major"/>
      </rPr>
      <t>หักขาดงาน</t>
    </r>
    <r>
      <rPr>
        <sz val="8"/>
        <color theme="1"/>
        <rFont val="Tahoma"/>
        <family val="2"/>
        <scheme val="major"/>
      </rPr>
      <t xml:space="preserve"> ที่ต้องตกเบิกให้กับพนักงาน </t>
    </r>
  </si>
  <si>
    <r>
      <t xml:space="preserve">แสดงยอดเงิน </t>
    </r>
    <r>
      <rPr>
        <sz val="8"/>
        <color rgb="FF000000"/>
        <rFont val="Tahoma"/>
        <family val="2"/>
        <scheme val="major"/>
      </rPr>
      <t xml:space="preserve">หักมาสาย </t>
    </r>
    <r>
      <rPr>
        <sz val="8"/>
        <color theme="1"/>
        <rFont val="Tahoma"/>
        <family val="2"/>
        <scheme val="major"/>
      </rPr>
      <t>ตามวันที่ทำงาน ที่ Interface จาก TMS เข้ามา โดยเป็นฐานเงินเดือนเดิม ที่คำนวณหักไว้ในระบบ @core</t>
    </r>
  </si>
  <si>
    <r>
      <t xml:space="preserve">แสดงยอดเงิน </t>
    </r>
    <r>
      <rPr>
        <sz val="8"/>
        <color rgb="FF000000"/>
        <rFont val="Tahoma"/>
        <family val="2"/>
        <scheme val="major"/>
      </rPr>
      <t>หักมาสาย</t>
    </r>
    <r>
      <rPr>
        <sz val="8"/>
        <color theme="1"/>
        <rFont val="Tahoma"/>
        <family val="2"/>
        <scheme val="major"/>
      </rPr>
      <t xml:space="preserve"> โดยคำนวณจากฐานเงินเดือนใหม่</t>
    </r>
  </si>
  <si>
    <r>
      <t xml:space="preserve">หักมาสาย </t>
    </r>
    <r>
      <rPr>
        <sz val="8"/>
        <color theme="1"/>
        <rFont val="Tahoma"/>
        <family val="2"/>
        <scheme val="major"/>
      </rPr>
      <t>(Retro Pay)</t>
    </r>
  </si>
  <si>
    <r>
      <t xml:space="preserve">แสดงยอดเงิน </t>
    </r>
    <r>
      <rPr>
        <sz val="8"/>
        <color rgb="FF000000"/>
        <rFont val="Tahoma"/>
        <family val="2"/>
        <scheme val="major"/>
      </rPr>
      <t>หักมาสาย</t>
    </r>
    <r>
      <rPr>
        <sz val="8"/>
        <color theme="1"/>
        <rFont val="Tahoma"/>
        <family val="2"/>
        <scheme val="major"/>
      </rPr>
      <t xml:space="preserve"> ที่ต้องตกเบิกให้กับพนักงาน </t>
    </r>
  </si>
  <si>
    <r>
      <t xml:space="preserve">แสดงยอดเงิน </t>
    </r>
    <r>
      <rPr>
        <sz val="8"/>
        <color rgb="FF000000"/>
        <rFont val="Tahoma"/>
        <family val="2"/>
        <scheme val="major"/>
      </rPr>
      <t xml:space="preserve">หักกลับก่อน </t>
    </r>
    <r>
      <rPr>
        <sz val="8"/>
        <color theme="1"/>
        <rFont val="Tahoma"/>
        <family val="2"/>
        <scheme val="major"/>
      </rPr>
      <t>ตามวันที่ทำงาน ที่ Interface จาก TMS เข้ามา โดยเป็นฐานเงินเดือนเดิม ที่คำนวณหักไว้ในระบบ @core</t>
    </r>
  </si>
  <si>
    <r>
      <t xml:space="preserve">แสดงยอดเงิน </t>
    </r>
    <r>
      <rPr>
        <sz val="8"/>
        <color rgb="FF000000"/>
        <rFont val="Tahoma"/>
        <family val="2"/>
        <scheme val="major"/>
      </rPr>
      <t>หักกลับก่อน</t>
    </r>
    <r>
      <rPr>
        <sz val="8"/>
        <color theme="1"/>
        <rFont val="Tahoma"/>
        <family val="2"/>
        <scheme val="major"/>
      </rPr>
      <t xml:space="preserve"> โดยคำนวณจากฐานเงินเดือนใหม่</t>
    </r>
  </si>
  <si>
    <r>
      <t xml:space="preserve">หักกลับก่อน </t>
    </r>
    <r>
      <rPr>
        <sz val="8"/>
        <color theme="1"/>
        <rFont val="Tahoma"/>
        <family val="2"/>
        <scheme val="major"/>
      </rPr>
      <t>(Retro Pay)</t>
    </r>
  </si>
  <si>
    <r>
      <t xml:space="preserve">แสดงยอดเงิน </t>
    </r>
    <r>
      <rPr>
        <sz val="8"/>
        <color rgb="FF000000"/>
        <rFont val="Tahoma"/>
        <family val="2"/>
        <scheme val="major"/>
      </rPr>
      <t xml:space="preserve">หักกลับก่อน </t>
    </r>
    <r>
      <rPr>
        <sz val="8"/>
        <color theme="1"/>
        <rFont val="Tahoma"/>
        <family val="2"/>
        <scheme val="major"/>
      </rPr>
      <t xml:space="preserve">ที่ต้องตกเบิกให้กับพนักงาน </t>
    </r>
  </si>
  <si>
    <t>ชื่อหน่วยงาน (ระดับ 1)</t>
  </si>
  <si>
    <t>แสดงข้อมูล Company ของพนักงาน -&gt; ตาม config Standard bandGroupStd, bandOrderStd, bandShowStd</t>
  </si>
  <si>
    <t>แสดงข้อมูล Department  ของพนักงาน -&gt; ตาม config Standard bandGroupStd, bandOrderStd, bandShowStd</t>
  </si>
  <si>
    <t>แสดงข้อมูล Unit  ของพนักงาน -&gt; ตาม config Standard bandGroupStd, bandOrderStd, bandShowStd</t>
  </si>
  <si>
    <t>แสดงข้อมูล Location ของพนักงาน -&gt; ตาม config Standard bandGroupStd, bandOrderStd, bandShowStd</t>
  </si>
  <si>
    <t>Colname</t>
  </si>
  <si>
    <t>crcId</t>
  </si>
  <si>
    <t>0</t>
  </si>
  <si>
    <t>eUnite</t>
  </si>
  <si>
    <t>ทศภาค จำกัด</t>
  </si>
  <si>
    <t>สุราทิพย์ จำกัด</t>
  </si>
  <si>
    <t>ป้อมกิจ จำกัด</t>
  </si>
  <si>
    <t>ฟู้ด ออฟ เอเชีย จำกัด</t>
  </si>
  <si>
    <t>บริษัท โออิชิ กรุ๊ป จำกัด (มหาชน)</t>
  </si>
  <si>
    <t>TN</t>
  </si>
  <si>
    <t>AM_MasterItem</t>
  </si>
  <si>
    <t>TH</t>
  </si>
  <si>
    <t>id</t>
  </si>
  <si>
    <t>code</t>
  </si>
  <si>
    <t>name</t>
  </si>
  <si>
    <t>nameAlt</t>
  </si>
  <si>
    <t>itemType</t>
  </si>
  <si>
    <t>isEnc</t>
  </si>
  <si>
    <t>orderNo</t>
  </si>
  <si>
    <t>notPay</t>
  </si>
  <si>
    <t>isMinus</t>
  </si>
  <si>
    <t>noPartial</t>
  </si>
  <si>
    <t>paybackItem</t>
  </si>
  <si>
    <t>negateItem</t>
  </si>
  <si>
    <t>rrRule</t>
  </si>
  <si>
    <t>entlDate</t>
  </si>
  <si>
    <t>entlStep</t>
  </si>
  <si>
    <t>paymId</t>
  </si>
  <si>
    <t>inactive</t>
  </si>
  <si>
    <t>patId</t>
  </si>
  <si>
    <t>DD</t>
  </si>
  <si>
    <t>N</t>
  </si>
  <si>
    <t>S</t>
  </si>
  <si>
    <t>AM_MasterTopic</t>
  </si>
  <si>
    <t>TD</t>
  </si>
  <si>
    <t>AM_MasterTopicD</t>
  </si>
  <si>
    <t>itemId</t>
  </si>
  <si>
    <t>topicId</t>
  </si>
  <si>
    <t>1</t>
  </si>
  <si>
    <t>100047</t>
  </si>
  <si>
    <t>เงินค่าจ้างรายวัน</t>
  </si>
  <si>
    <t>100015</t>
  </si>
  <si>
    <t>100040</t>
  </si>
  <si>
    <t>100004</t>
  </si>
  <si>
    <t>100006</t>
  </si>
  <si>
    <t>AM_ColName</t>
  </si>
  <si>
    <t>colType</t>
  </si>
  <si>
    <t>refCode</t>
  </si>
  <si>
    <t>extWhere</t>
  </si>
  <si>
    <t>indicId</t>
  </si>
  <si>
    <t>ITO</t>
  </si>
  <si>
    <t>remarks</t>
  </si>
  <si>
    <t>sidExpOrd</t>
  </si>
  <si>
    <t>flowCode</t>
  </si>
  <si>
    <t>AccAreaId</t>
  </si>
  <si>
    <t>price</t>
  </si>
  <si>
    <t>entlJOverride</t>
  </si>
  <si>
    <t>tagsValue</t>
  </si>
  <si>
    <t>L:AS_Partition.code</t>
  </si>
  <si>
    <t>หักลาเกินสิทธิ์</t>
  </si>
  <si>
    <t>-88000001</t>
  </si>
  <si>
    <t>-88000002</t>
  </si>
  <si>
    <t>-88000003</t>
  </si>
  <si>
    <t>-88000004</t>
  </si>
  <si>
    <t>-88000005</t>
  </si>
  <si>
    <t>-88000006</t>
  </si>
  <si>
    <t>-88000007</t>
  </si>
  <si>
    <t>-88000008</t>
  </si>
  <si>
    <t>-88000009</t>
  </si>
  <si>
    <t>-88000010</t>
  </si>
  <si>
    <t>-89000001</t>
  </si>
  <si>
    <t>-89000002</t>
  </si>
  <si>
    <t>-89000003</t>
  </si>
  <si>
    <t>-89000004</t>
  </si>
  <si>
    <t>-89000005</t>
  </si>
  <si>
    <t>-89000006</t>
  </si>
  <si>
    <t>-89000007</t>
  </si>
  <si>
    <t>-89000008</t>
  </si>
  <si>
    <t>-89000009</t>
  </si>
  <si>
    <t>-89000010</t>
  </si>
  <si>
    <t>-90000001</t>
  </si>
  <si>
    <t>-90000002</t>
  </si>
  <si>
    <t>-90000003</t>
  </si>
  <si>
    <t>-90000004</t>
  </si>
  <si>
    <t>-90000005</t>
  </si>
  <si>
    <t>-90000006</t>
  </si>
  <si>
    <t>-90000007</t>
  </si>
  <si>
    <t>-90000008</t>
  </si>
  <si>
    <t>-90000009</t>
  </si>
  <si>
    <t>-90000010</t>
  </si>
  <si>
    <t>basicSal</t>
  </si>
  <si>
    <t>OT1-Money</t>
  </si>
  <si>
    <t>OT2-Money</t>
  </si>
  <si>
    <t>OT3-Money</t>
  </si>
  <si>
    <t>OT15-Money</t>
  </si>
  <si>
    <t>SAL-DAY</t>
  </si>
  <si>
    <t>100030</t>
  </si>
  <si>
    <t>DEABS</t>
  </si>
  <si>
    <t>Day Rate</t>
  </si>
  <si>
    <t>PAY</t>
  </si>
  <si>
    <t>299</t>
  </si>
  <si>
    <t>Overtime 1.0</t>
  </si>
  <si>
    <t>294</t>
  </si>
  <si>
    <t>SJ</t>
  </si>
  <si>
    <t>Overtime 1.5</t>
  </si>
  <si>
    <t>Overtime 2.0</t>
  </si>
  <si>
    <t>Overtime 3.0</t>
  </si>
  <si>
    <t>Absent Deduction</t>
  </si>
  <si>
    <t>-87100030</t>
  </si>
  <si>
    <t>-87100031</t>
  </si>
  <si>
    <t>-87100032</t>
  </si>
  <si>
    <t>-87100033</t>
  </si>
  <si>
    <t xml:space="preserve">2005 </t>
  </si>
  <si>
    <t>SUSP-Money</t>
  </si>
  <si>
    <t>LATE-Money</t>
  </si>
  <si>
    <t>EAO-Money</t>
  </si>
  <si>
    <t>2005</t>
  </si>
  <si>
    <r>
      <t xml:space="preserve">โดยรายงานจะ Insert </t>
    </r>
    <r>
      <rPr>
        <sz val="8"/>
        <color rgb="FF000000"/>
        <rFont val="Tahoma"/>
        <family val="2"/>
        <scheme val="major"/>
      </rPr>
      <t>ค่า</t>
    </r>
    <r>
      <rPr>
        <sz val="8"/>
        <color theme="1"/>
        <rFont val="Tahoma"/>
        <family val="2"/>
        <scheme val="major"/>
      </rPr>
      <t>หักลาเกินสิทธิ์ นี้ ไปที่หน้าจอเงินเพิ่ม-หัก ครั้งเดียว ตามวันที่ทำงาน เพื่อนำไปประมวลผลเงินเดือนต่อ</t>
    </r>
    <r>
      <rPr>
        <sz val="8"/>
        <color rgb="FF0070C0"/>
        <rFont val="Tahoma"/>
        <family val="2"/>
        <scheme val="major"/>
      </rPr>
      <t xml:space="preserve"> -&gt; Insert เข้า Item Code = 2005</t>
    </r>
  </si>
  <si>
    <r>
      <t xml:space="preserve">โดยรายงานจะ Insert </t>
    </r>
    <r>
      <rPr>
        <sz val="8"/>
        <color rgb="FF000000"/>
        <rFont val="Tahoma"/>
        <family val="2"/>
        <scheme val="major"/>
      </rPr>
      <t>ค่าล่วงเวลา 1 เท่า</t>
    </r>
    <r>
      <rPr>
        <sz val="8"/>
        <color theme="1"/>
        <rFont val="Tahoma"/>
        <family val="2"/>
        <scheme val="major"/>
      </rPr>
      <t xml:space="preserve"> นี้ ไปที่หน้าจอเงินเพิ่ม-หัก ครั้งเดียว ตามวันที่ทำงาน เพื่อนำไปประมวลผลเงินเดือนต่อ  </t>
    </r>
    <r>
      <rPr>
        <sz val="8"/>
        <color rgb="FF0070C0"/>
        <rFont val="Tahoma"/>
        <family val="2"/>
        <scheme val="major"/>
      </rPr>
      <t>-&gt; Insert เข้า Item Code = OT1-Money</t>
    </r>
  </si>
  <si>
    <r>
      <t xml:space="preserve">โดยรายงานจะ Insert </t>
    </r>
    <r>
      <rPr>
        <sz val="8"/>
        <color rgb="FF000000"/>
        <rFont val="Tahoma"/>
        <family val="2"/>
        <scheme val="major"/>
      </rPr>
      <t>หักกลับก่อน</t>
    </r>
    <r>
      <rPr>
        <sz val="8"/>
        <color theme="1"/>
        <rFont val="Tahoma"/>
        <family val="2"/>
        <scheme val="major"/>
      </rPr>
      <t xml:space="preserve"> นี้ ไปที่หน้าจอเงินเพิ่ม-หัก ครั้งเดียว ตามวันที่ทำงาน เพื่อนำไปประมวลผลเงินเดือนต่อ </t>
    </r>
    <r>
      <rPr>
        <sz val="8"/>
        <color rgb="FF0070C0"/>
        <rFont val="Tahoma"/>
        <family val="2"/>
        <scheme val="major"/>
      </rPr>
      <t>-&gt; Insert เข้า Item Code = EAO-Money</t>
    </r>
  </si>
  <si>
    <r>
      <t xml:space="preserve">โดยรายงานจะ Insert หักพักงาน นี้ ไปที่หน้าจอเงินเพิ่ม-หัก ครั้งเดียว ตามวันที่ทำงาน เพื่อนำไปประมวลผลเงินเดือนต่อ </t>
    </r>
    <r>
      <rPr>
        <sz val="8"/>
        <color rgb="FF0070C0"/>
        <rFont val="Tahoma"/>
        <family val="2"/>
        <scheme val="major"/>
      </rPr>
      <t>-&gt; Insert เข้า Item Code = LATE-Money</t>
    </r>
  </si>
  <si>
    <r>
      <t>โดยรายงานจะ Insert หักพักงาน นี้ ไปที่หน้าจอเงินเพิ่ม-หัก ครั้งเดียว ตามวันที่ทำงาน เพื่อนำไปประมวลผลเงินเดือนต่อ</t>
    </r>
    <r>
      <rPr>
        <sz val="8"/>
        <color rgb="FF0070C0"/>
        <rFont val="Tahoma"/>
        <family val="2"/>
        <scheme val="major"/>
      </rPr>
      <t xml:space="preserve"> -&gt; Insert เข้า Item Code = DEABS</t>
    </r>
  </si>
  <si>
    <r>
      <t xml:space="preserve">โดยรายงานจะ Insert ค่าจ้าง นี้ ไปที่หน้าจอเงินเพิ่ม-หัก ครั้งเดียว ตามวันที่ทำงาน เพื่อนำไปประมวลผลเงินเดือนต่อ </t>
    </r>
    <r>
      <rPr>
        <sz val="8"/>
        <color rgb="FF0070C0"/>
        <rFont val="Tahoma"/>
        <family val="2"/>
        <scheme val="major"/>
      </rPr>
      <t>-&gt; Insert เข้า Item Code = SAL-DAY</t>
    </r>
  </si>
  <si>
    <r>
      <t>โดยรายงานจะ Insert หักพักงาน นี้ ไปที่หน้าจอเงินเพิ่ม-หัก ครั้งเดียว ตามวันที่ทำงาน เพื่อนำไปประมวลผลเงินเดือนต่อ</t>
    </r>
    <r>
      <rPr>
        <sz val="8"/>
        <color rgb="FF0070C0"/>
        <rFont val="Tahoma"/>
        <family val="2"/>
        <scheme val="major"/>
      </rPr>
      <t xml:space="preserve"> -&gt; Insert เข้า Item Code = SUSP-Money</t>
    </r>
  </si>
  <si>
    <r>
      <t xml:space="preserve">โดยรายงานจะ Insert </t>
    </r>
    <r>
      <rPr>
        <sz val="8"/>
        <color rgb="FF000000"/>
        <rFont val="Tahoma"/>
        <family val="2"/>
        <scheme val="major"/>
      </rPr>
      <t>ค่าล่วงเวลา 3 เท่า</t>
    </r>
    <r>
      <rPr>
        <sz val="8"/>
        <color theme="1"/>
        <rFont val="Tahoma"/>
        <family val="2"/>
        <scheme val="major"/>
      </rPr>
      <t xml:space="preserve"> นี้ ไปที่หน้าจอเงินเพิ่ม-หัก ครั้งเดียว ตามวันที่ทำงาน เพื่อนำไปประมวลผลเงินเดือนต่อ </t>
    </r>
    <r>
      <rPr>
        <sz val="8"/>
        <color rgb="FF0070C0"/>
        <rFont val="Tahoma"/>
        <family val="2"/>
        <scheme val="major"/>
      </rPr>
      <t>-&gt; Insert เข้า Item Code = OT3-Money</t>
    </r>
  </si>
  <si>
    <r>
      <t xml:space="preserve">โดยรายงานจะ Insert </t>
    </r>
    <r>
      <rPr>
        <sz val="8"/>
        <color rgb="FF000000"/>
        <rFont val="Tahoma"/>
        <family val="2"/>
        <scheme val="major"/>
      </rPr>
      <t>ค่าล่วงเวลา 1.5 เท่า</t>
    </r>
    <r>
      <rPr>
        <sz val="8"/>
        <color theme="1"/>
        <rFont val="Tahoma"/>
        <family val="2"/>
        <scheme val="major"/>
      </rPr>
      <t xml:space="preserve"> นี้ ไปที่หน้าจอเงินเพิ่ม-หัก ครั้งเดียว ตามวันที่ทำงานเพื่อนำไปประมวลผลเงินเดือนต่อ </t>
    </r>
    <r>
      <rPr>
        <sz val="8"/>
        <color rgb="FF0070C0"/>
        <rFont val="Tahoma"/>
        <family val="2"/>
        <scheme val="major"/>
      </rPr>
      <t>-&gt; Insert เข้า Item Code = OT15-Money</t>
    </r>
  </si>
  <si>
    <r>
      <t xml:space="preserve">โดยรายงานจะ Insert </t>
    </r>
    <r>
      <rPr>
        <sz val="8"/>
        <color rgb="FF000000"/>
        <rFont val="Tahoma"/>
        <family val="2"/>
        <scheme val="major"/>
      </rPr>
      <t>ค่าล่วงเวลา 2 เท่า</t>
    </r>
    <r>
      <rPr>
        <sz val="8"/>
        <color theme="1"/>
        <rFont val="Tahoma"/>
        <family val="2"/>
        <scheme val="major"/>
      </rPr>
      <t xml:space="preserve"> นี้ ไปที่หน้าจอเงินเพิ่ม-หัก ครั้งเดียว ตามวันที่ทำงาน เพื่อนำไปประมวลผลเงินเดือนต่อ </t>
    </r>
    <r>
      <rPr>
        <sz val="8"/>
        <color rgb="FF0070C0"/>
        <rFont val="Tahoma"/>
        <family val="2"/>
        <scheme val="major"/>
      </rPr>
      <t>-&gt; Insert เข้า Item Code =OT2-Money</t>
    </r>
  </si>
  <si>
    <r>
      <t xml:space="preserve">โดยรายงานจะ Insert เงินเดือน นี้ ไปที่หน้าจอเงินเพิ่ม-หัก ครั้งเดียว ตามวันที่ทำงาน เพื่อนำไปประมวลผลเงินเดือนต่อ </t>
    </r>
    <r>
      <rPr>
        <sz val="8"/>
        <color rgb="FF0070C0"/>
        <rFont val="Tahoma"/>
        <family val="2"/>
        <scheme val="major"/>
      </rPr>
      <t>-&gt; Insert เข้า Item Code = SAL</t>
    </r>
  </si>
  <si>
    <t>ประจำ-รายเดือน</t>
  </si>
  <si>
    <t>Monthly</t>
  </si>
  <si>
    <t>ประจำ</t>
  </si>
  <si>
    <t>emCode</t>
  </si>
  <si>
    <t>cardNo</t>
  </si>
  <si>
    <t>prefix</t>
  </si>
  <si>
    <t>firstName</t>
  </si>
  <si>
    <t>lastName</t>
  </si>
  <si>
    <t>prefixAlt</t>
  </si>
  <si>
    <t>firstNameAlt</t>
  </si>
  <si>
    <t>lastNameAlt</t>
  </si>
  <si>
    <t>gender</t>
  </si>
  <si>
    <t>birthDate</t>
  </si>
  <si>
    <t>startJobD</t>
  </si>
  <si>
    <t>serviceDate</t>
  </si>
  <si>
    <t>PosStartDate</t>
  </si>
  <si>
    <t>PosEndDate</t>
  </si>
  <si>
    <t>retiredDate</t>
  </si>
  <si>
    <t>trafType</t>
  </si>
  <si>
    <t>posType</t>
  </si>
  <si>
    <t>actEndProbDate</t>
  </si>
  <si>
    <t>isProbation</t>
  </si>
  <si>
    <t>endJobD</t>
  </si>
  <si>
    <t>quitReasonCode</t>
  </si>
  <si>
    <t>companyCode</t>
  </si>
  <si>
    <t>companyName</t>
  </si>
  <si>
    <t>comNameAlt</t>
  </si>
  <si>
    <t>estCode</t>
  </si>
  <si>
    <t>estName</t>
  </si>
  <si>
    <t>estNameAlt</t>
  </si>
  <si>
    <t>locaCode</t>
  </si>
  <si>
    <t>locaName</t>
  </si>
  <si>
    <t>locaNameAlt</t>
  </si>
  <si>
    <t>jobRoleCode</t>
  </si>
  <si>
    <t>JobRoleName</t>
  </si>
  <si>
    <t>JobRoleNameAlt</t>
  </si>
  <si>
    <t>JobLevelCode</t>
  </si>
  <si>
    <t>JobLevelName</t>
  </si>
  <si>
    <t>JobLevelAlt</t>
  </si>
  <si>
    <t>positionCode</t>
  </si>
  <si>
    <t>positionName</t>
  </si>
  <si>
    <t>positionNameAlt</t>
  </si>
  <si>
    <t>emLevelCode</t>
  </si>
  <si>
    <t>emLevelName</t>
  </si>
  <si>
    <t>emLevelNameAlt</t>
  </si>
  <si>
    <t>emLevNo</t>
  </si>
  <si>
    <t>employmentTypeCode</t>
  </si>
  <si>
    <t>employmentTypeName</t>
  </si>
  <si>
    <t>employmentTypeNameAlt</t>
  </si>
  <si>
    <t>payTypeCode</t>
  </si>
  <si>
    <t>payTypeName</t>
  </si>
  <si>
    <t>employeeTypeCode</t>
  </si>
  <si>
    <t>employeeTypeName</t>
  </si>
  <si>
    <t>employeeGroupCode</t>
  </si>
  <si>
    <t>employeeGroupName</t>
  </si>
  <si>
    <t>BasicSal</t>
  </si>
  <si>
    <t>freqCode</t>
  </si>
  <si>
    <t>accntCode</t>
  </si>
  <si>
    <t>bankNo</t>
  </si>
  <si>
    <t>BranchNo</t>
  </si>
  <si>
    <t>accntName</t>
  </si>
  <si>
    <t>BankNameAbbv</t>
  </si>
  <si>
    <t>BankName</t>
  </si>
  <si>
    <t>payGroupCode</t>
  </si>
  <si>
    <t>PayGroupName</t>
  </si>
  <si>
    <t>PaymentCode</t>
  </si>
  <si>
    <t>PaymentName</t>
  </si>
  <si>
    <t>taxCalType</t>
  </si>
  <si>
    <t>ssfCalType</t>
  </si>
  <si>
    <t>newEmSSOType</t>
  </si>
  <si>
    <t>nationCode</t>
  </si>
  <si>
    <t>nation</t>
  </si>
  <si>
    <t>Race</t>
  </si>
  <si>
    <t>religion</t>
  </si>
  <si>
    <t>isForeigner</t>
  </si>
  <si>
    <t>nationId</t>
  </si>
  <si>
    <t>nationIdExpDate</t>
  </si>
  <si>
    <t>passportId</t>
  </si>
  <si>
    <t>passportIdExpDate</t>
  </si>
  <si>
    <t>workPermitId</t>
  </si>
  <si>
    <t>workPermitIdExpDate</t>
  </si>
  <si>
    <t>taxID</t>
  </si>
  <si>
    <t>SSFID</t>
  </si>
  <si>
    <t>militaryStat</t>
  </si>
  <si>
    <t>bloodType</t>
  </si>
  <si>
    <t>height</t>
  </si>
  <si>
    <t>weight</t>
  </si>
  <si>
    <t>preferLang</t>
  </si>
  <si>
    <t>stuCode</t>
  </si>
  <si>
    <t>isStuOwner</t>
  </si>
  <si>
    <t>supCode</t>
  </si>
  <si>
    <t>supName</t>
  </si>
  <si>
    <t>CombCode</t>
  </si>
  <si>
    <t>CombName</t>
  </si>
  <si>
    <t>TIMPOC001</t>
  </si>
  <si>
    <t>นาย</t>
  </si>
  <si>
    <t>เวลา 1</t>
  </si>
  <si>
    <t xml:space="preserve">Mr. </t>
  </si>
  <si>
    <t>M</t>
  </si>
  <si>
    <t>H</t>
  </si>
  <si>
    <t>3039</t>
  </si>
  <si>
    <t>Dhospaak Co., Ltd.</t>
  </si>
  <si>
    <t>303900</t>
  </si>
  <si>
    <t>สำนักงานใหญ่</t>
  </si>
  <si>
    <t>Head Office</t>
  </si>
  <si>
    <t>ที่ปรึกษาฝ่ายบริหาร</t>
  </si>
  <si>
    <t>Consultant</t>
  </si>
  <si>
    <t>ผู้บริหาร</t>
  </si>
  <si>
    <t xml:space="preserve">Executive </t>
  </si>
  <si>
    <t>PM</t>
  </si>
  <si>
    <t>PM-M</t>
  </si>
  <si>
    <t>สัญญาจ้าง-รายเดือน</t>
  </si>
  <si>
    <t>กลุ่มพนักงานสัญญาจ้างหลังเกษียณ (ที่ปรึกษาฝ่ายบริหาร)</t>
  </si>
  <si>
    <t>28310</t>
  </si>
  <si>
    <t>ประมวลผล เวลา 1</t>
  </si>
  <si>
    <t>ธนาคารไทยพาณิชย์</t>
  </si>
  <si>
    <t>เงินโอนธนาคารไทยพาณิชย์</t>
  </si>
  <si>
    <t>THB</t>
  </si>
  <si>
    <t>D</t>
  </si>
  <si>
    <t>2</t>
  </si>
  <si>
    <t>th</t>
  </si>
  <si>
    <t>ไทย</t>
  </si>
  <si>
    <t>พุทธ</t>
  </si>
  <si>
    <t/>
  </si>
  <si>
    <t>TIMPOC002</t>
  </si>
  <si>
    <t>เวลา 2</t>
  </si>
  <si>
    <t>3036</t>
  </si>
  <si>
    <t>Surathip Co., Ltd.</t>
  </si>
  <si>
    <t>303600</t>
  </si>
  <si>
    <t>สุราทิพย์ จำกัด (อาคารแสงโสม)</t>
  </si>
  <si>
    <t>330</t>
  </si>
  <si>
    <t>ประมวลผล เวลา 2</t>
  </si>
  <si>
    <t>TIMPOC003</t>
  </si>
  <si>
    <t>เวลา 3</t>
  </si>
  <si>
    <t>3018</t>
  </si>
  <si>
    <t>Pomkit Co., Ltd.</t>
  </si>
  <si>
    <t>301800</t>
  </si>
  <si>
    <t>ป้อมกิจ จำกัด (นครราชสีมา)</t>
  </si>
  <si>
    <t>55</t>
  </si>
  <si>
    <t>ประมวลผล เวลา 3</t>
  </si>
  <si>
    <t>ArrearTIM001</t>
  </si>
  <si>
    <t>ArrearTIM002</t>
  </si>
  <si>
    <t>ArrearTIM003</t>
  </si>
  <si>
    <t>ArrearTIM004</t>
  </si>
  <si>
    <t>ArrearTIM005</t>
  </si>
  <si>
    <t>ตกเบิก</t>
  </si>
  <si>
    <t>เวลา 4</t>
  </si>
  <si>
    <t>เวลา 5</t>
  </si>
  <si>
    <t>1900</t>
  </si>
  <si>
    <t>Food of Asia Co., Ltd.</t>
  </si>
  <si>
    <t>190000</t>
  </si>
  <si>
    <t>รายเดิอน</t>
  </si>
  <si>
    <t>PM-D</t>
  </si>
  <si>
    <t>28510</t>
  </si>
  <si>
    <t>OSH-Group</t>
  </si>
  <si>
    <t>Oishi Group Public Company Limited</t>
  </si>
  <si>
    <t>OSH-Group000000</t>
  </si>
  <si>
    <t>บริษัท โออิชิ กรุ๊ป จำกัด (มหาชน) (สำนักงานใหญ่)</t>
  </si>
  <si>
    <t>14440</t>
  </si>
  <si>
    <t>ตกเบิก เวลา 1</t>
  </si>
  <si>
    <t>ตกเบิก เวลา 2</t>
  </si>
  <si>
    <t>ตกเบิก เวลา 3</t>
  </si>
  <si>
    <t>ตกเบิก เวลา 4</t>
  </si>
  <si>
    <t>ตกเบิก เวลา 5</t>
  </si>
  <si>
    <t>3712420048642</t>
  </si>
  <si>
    <t>3736463724678</t>
  </si>
  <si>
    <t>5252421140721</t>
  </si>
  <si>
    <t>5707277882142</t>
  </si>
  <si>
    <t>6062150303425</t>
  </si>
  <si>
    <t>ชือพนักงาน</t>
  </si>
  <si>
    <t>วันทำงาน</t>
  </si>
  <si>
    <t>ชั่วโมงทำงานต่อวัน</t>
  </si>
  <si>
    <t>รหัส</t>
  </si>
  <si>
    <t>ชื่อรายการ</t>
  </si>
  <si>
    <t>จำนวน</t>
  </si>
  <si>
    <t>Amount Local</t>
  </si>
  <si>
    <t>Source Date</t>
  </si>
  <si>
    <t>หน่วยบัญชี</t>
  </si>
  <si>
    <t>Process User</t>
  </si>
  <si>
    <t>7</t>
  </si>
  <si>
    <t>OT15-Time</t>
  </si>
  <si>
    <t>TMS-OT1.5</t>
  </si>
  <si>
    <t>SYS-AB</t>
  </si>
  <si>
    <t>TMS-ขาดงาน</t>
  </si>
  <si>
    <t>LATE</t>
  </si>
  <si>
    <t>TMS-มาสาย</t>
  </si>
  <si>
    <t xml:space="preserve">2005-TMS </t>
  </si>
  <si>
    <t>TMS-หักลาเกินสิทธิ์</t>
  </si>
  <si>
    <t xml:space="preserve">1051-TMS </t>
  </si>
  <si>
    <t>TMS-เบี้ยขยัน หักภาษี ไม่หักปกส. (คงที่)</t>
  </si>
  <si>
    <t xml:space="preserve">1032-TMS </t>
  </si>
  <si>
    <t>TMS-ค่ากะ หักภาษี ไม่หักปกส.</t>
  </si>
  <si>
    <t xml:space="preserve">1007-TMS </t>
  </si>
  <si>
    <t>TMS-เบี้ยเลี้ยงเหมาจ่าย หักภาษี หักปกส. (คงที่)</t>
  </si>
  <si>
    <t xml:space="preserve">1051 </t>
  </si>
  <si>
    <t>เบี้ยขยัน หักภาษี ไม่หักปกส. (คงที่)</t>
  </si>
  <si>
    <t xml:space="preserve">1032 </t>
  </si>
  <si>
    <t>ค่ากะ หักภาษี ไม่หักปกส.</t>
  </si>
  <si>
    <t>1007</t>
  </si>
  <si>
    <t>เบี้ยเลี้ยงเหมาจ่าย หักภาษี หักปกส. (คงที่)</t>
  </si>
  <si>
    <t>รายวัน</t>
  </si>
  <si>
    <t>8</t>
  </si>
  <si>
    <t>OT3-Time</t>
  </si>
  <si>
    <t>TMS-OT3</t>
  </si>
  <si>
    <t>WK</t>
  </si>
  <si>
    <t>TMS-มาทำงาน</t>
  </si>
  <si>
    <t xml:space="preserve">SUSP </t>
  </si>
  <si>
    <t>TMS-หักพักงาน</t>
  </si>
  <si>
    <t xml:space="preserve">1116-TMS </t>
  </si>
  <si>
    <t>TMS-ค่าอาหาร หักภาษี หักปกส. (คงที่)</t>
  </si>
  <si>
    <t xml:space="preserve">1093-TMS </t>
  </si>
  <si>
    <t>TMS-ค่าครองชีพ รายเดือน หักภาษี หักปกส. (คงที่)</t>
  </si>
  <si>
    <t xml:space="preserve">1008-TMS </t>
  </si>
  <si>
    <t>TMS-เบี้ยเลี้ยงเหมาจ่าย หักภาษี หักปกส. (ไม่คงที่)</t>
  </si>
  <si>
    <t xml:space="preserve">1116 </t>
  </si>
  <si>
    <t>ค่าอาหาร หักภาษี หักปกส. (คงที่)</t>
  </si>
  <si>
    <t xml:space="preserve">1093 </t>
  </si>
  <si>
    <t>ค่าครองชีพ รายเดือน หักภาษี หักปกส. (คงที่)</t>
  </si>
  <si>
    <t xml:space="preserve">1008 </t>
  </si>
  <si>
    <t>เบี้ยเลี้ยงเหมาจ่าย หักภาษี หักปกส. (ไม่คงที่)</t>
  </si>
  <si>
    <t>รายชม.</t>
  </si>
  <si>
    <t>7.5</t>
  </si>
  <si>
    <t xml:space="preserve">1153-TMS </t>
  </si>
  <si>
    <t>TMS-ค่าทักษะ หักภาษี หักปกส. (ไม่คงที่)</t>
  </si>
  <si>
    <t xml:space="preserve">1067-TMS </t>
  </si>
  <si>
    <t>TMS-ค่าหนาว หักภาษี หักปกส.</t>
  </si>
  <si>
    <t xml:space="preserve">1153 </t>
  </si>
  <si>
    <t xml:space="preserve">1067 </t>
  </si>
  <si>
    <t>31/06/2023</t>
  </si>
  <si>
    <t>เมื่อเลือก Action = Yes  จะต้อง Insert เข้าเงินเพิ่มหักครั้งเดียว ดังนี้</t>
  </si>
  <si>
    <t>รายการเงิน</t>
  </si>
  <si>
    <t>amt</t>
  </si>
  <si>
    <t>เงินเดือน</t>
  </si>
  <si>
    <t>Auto Calculated From Time Arrears Calculator : และตามด้วยวันที่มีผลจากการรันรายงาน</t>
  </si>
  <si>
    <t>หมายเหตุ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</si>
</sst>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87" formatCode="0000000000"/>
    <numFmt numFmtId="188" formatCode="[$-1000000]0\ 0000\ 00000\ 00\ 0"/>
    <numFmt numFmtId="189" formatCode="00000"/>
    <numFmt numFmtId="190" formatCode="dd/mm/yyyy"/>
  </numFmts>
  <fonts count="37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b/>
      <sz val="9"/>
      <color theme="1"/>
      <name val="Tahoma"/>
      <family val="2"/>
      <scheme val="minor"/>
    </font>
    <font>
      <sz val="9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theme="4"/>
      <name val="Tahoma"/>
      <family val="2"/>
      <scheme val="major"/>
    </font>
    <font>
      <sz val="10"/>
      <color rgb="FF0070C0"/>
      <name val="Tahoma"/>
      <family val="2"/>
      <scheme val="major"/>
    </font>
    <font>
      <sz val="10"/>
      <color theme="1"/>
      <name val="Tahoma"/>
      <family val="2"/>
      <scheme val="major"/>
    </font>
    <font>
      <sz val="9"/>
      <color rgb="FF000000"/>
      <name val="Tahoma"/>
      <family val="2"/>
      <scheme val="minor"/>
    </font>
    <font>
      <sz val="8"/>
      <color rgb="FF000000"/>
      <name val="Tahoma"/>
      <family val="2"/>
      <scheme val="major"/>
    </font>
    <font>
      <sz val="8"/>
      <color theme="1"/>
      <name val="Tahoma"/>
      <family val="2"/>
      <scheme val="major"/>
    </font>
    <font>
      <sz val="8"/>
      <color rgb="FF0070C0"/>
      <name val="Tahoma"/>
      <family val="2"/>
      <scheme val="major"/>
    </font>
    <font>
      <sz val="11"/>
      <color theme="1"/>
      <name val="Tahoma"/>
      <family val="2"/>
      <scheme val="minor"/>
    </font>
    <font>
      <sz val="8"/>
      <name val="Tahoma"/>
      <family val="2"/>
      <charset val="222"/>
      <scheme val="minor"/>
    </font>
    <font>
      <sz val="9"/>
      <color theme="1"/>
      <name val="Calibri"/>
      <family val="2"/>
    </font>
    <font>
      <sz val="9"/>
      <color rgb="FF0070C0"/>
      <name val="Calibri"/>
      <family val="2"/>
    </font>
    <font>
      <b/>
      <sz val="9"/>
      <name val="Calibri"/>
      <family val="2"/>
    </font>
    <font>
      <b/>
      <sz val="9"/>
      <color rgb="FFFF0000"/>
      <name val="Calibri"/>
      <family val="2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rgb="FFFF0000"/>
      <name val="Calibri"/>
      <family val="2"/>
    </font>
    <font>
      <sz val="9"/>
      <color indexed="8"/>
      <name val="Calibri"/>
      <family val="2"/>
    </font>
    <font>
      <sz val="11"/>
      <color indexed="8"/>
      <name val="Tahoma"/>
      <family val="2"/>
      <scheme val="minor"/>
    </font>
    <font>
      <sz val="8"/>
      <color theme="1"/>
      <name val="Tahoma"/>
      <family val="2"/>
      <scheme val="minor"/>
    </font>
    <font>
      <sz val="9"/>
      <color theme="0" tint="-0.34998626667073579"/>
      <name val="Calibri"/>
      <family val="2"/>
    </font>
    <font>
      <sz val="11"/>
      <color theme="1"/>
      <name val="Tahoma"/>
      <family val="2"/>
      <charset val="222"/>
      <scheme val="minor"/>
    </font>
    <font>
      <b/>
      <sz val="9"/>
      <color rgb="FFFF0000"/>
      <name val="Tahoma"/>
      <family val="2"/>
      <scheme val="minor"/>
    </font>
    <font>
      <b/>
      <sz val="9"/>
      <color theme="0" tint="-0.249977111117893"/>
      <name val="Tahoma"/>
      <family val="2"/>
      <scheme val="minor"/>
    </font>
    <font>
      <b/>
      <sz val="9"/>
      <name val="Tahoma"/>
      <family val="2"/>
      <scheme val="minor"/>
    </font>
    <font>
      <sz val="9"/>
      <name val="Tahoma"/>
      <family val="2"/>
      <scheme val="minor"/>
    </font>
    <font>
      <sz val="10"/>
      <color rgb="FFFF0000"/>
      <name val="Calibri"/>
      <family val="2"/>
    </font>
    <font>
      <sz val="10"/>
      <color rgb="FF444444"/>
      <name val="Roboto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"/>
      <name val="Tahoma"/>
      <family val="2"/>
      <scheme val="major"/>
    </font>
    <font>
      <sz val="8"/>
      <color rgb="FF7030A0"/>
      <name val="Tahoma"/>
      <family val="2"/>
      <scheme val="major"/>
    </font>
    <font>
      <sz val="9"/>
      <color rgb="FF7030A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E5E6E6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12" fillId="0" borderId="0"/>
    <xf numFmtId="43" fontId="25" fillId="0" borderId="0" applyFont="0" applyFill="0" applyBorder="0" applyAlignment="0" applyProtection="0"/>
    <xf numFmtId="0" fontId="22" fillId="0" borderId="0"/>
  </cellStyleXfs>
  <cellXfs count="157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0" xfId="0" applyFont="1" applyFill="1" applyAlignment="1">
      <alignment vertical="center"/>
    </xf>
    <xf numFmtId="0" fontId="3" fillId="2" borderId="0" xfId="0" applyFont="1" applyFill="1"/>
    <xf numFmtId="0" fontId="3" fillId="0" borderId="0" xfId="0" applyFont="1"/>
    <xf numFmtId="0" fontId="5" fillId="0" borderId="0" xfId="0" quotePrefix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3" borderId="0" xfId="0" applyFont="1" applyFill="1"/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8" fillId="3" borderId="0" xfId="0" applyFont="1" applyFill="1" applyAlignment="1">
      <alignment horizontal="left" vertical="center"/>
    </xf>
    <xf numFmtId="0" fontId="10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left" vertical="center" wrapText="1"/>
    </xf>
    <xf numFmtId="4" fontId="10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4" xfId="0" quotePrefix="1" applyFont="1" applyBorder="1" applyAlignment="1">
      <alignment vertical="center" wrapText="1"/>
    </xf>
    <xf numFmtId="0" fontId="11" fillId="0" borderId="2" xfId="0" quotePrefix="1" applyFont="1" applyBorder="1" applyAlignment="1">
      <alignment vertical="center" wrapText="1"/>
    </xf>
    <xf numFmtId="0" fontId="14" fillId="5" borderId="0" xfId="1" applyFont="1" applyFill="1" applyBorder="1" applyAlignment="1">
      <alignment horizontal="left" vertical="top"/>
    </xf>
    <xf numFmtId="49" fontId="14" fillId="5" borderId="0" xfId="1" applyNumberFormat="1" applyFont="1" applyFill="1" applyBorder="1" applyAlignment="1">
      <alignment horizontal="left" vertical="top"/>
    </xf>
    <xf numFmtId="0" fontId="15" fillId="5" borderId="0" xfId="0" applyFont="1" applyFill="1" applyAlignment="1">
      <alignment horizontal="left" vertical="top"/>
    </xf>
    <xf numFmtId="0" fontId="14" fillId="5" borderId="0" xfId="1" applyFont="1" applyFill="1" applyBorder="1" applyAlignment="1">
      <alignment horizontal="left" vertical="top" wrapText="1"/>
    </xf>
    <xf numFmtId="0" fontId="14" fillId="5" borderId="0" xfId="0" applyFont="1" applyFill="1" applyAlignment="1">
      <alignment horizontal="left" vertical="top"/>
    </xf>
    <xf numFmtId="0" fontId="16" fillId="5" borderId="0" xfId="2" applyFont="1" applyFill="1" applyAlignment="1">
      <alignment horizontal="left" vertical="top"/>
    </xf>
    <xf numFmtId="49" fontId="16" fillId="5" borderId="0" xfId="2" applyNumberFormat="1" applyFont="1" applyFill="1" applyAlignment="1">
      <alignment horizontal="left" vertical="top"/>
    </xf>
    <xf numFmtId="0" fontId="16" fillId="5" borderId="0" xfId="2" applyFont="1" applyFill="1" applyAlignment="1">
      <alignment horizontal="left" vertical="top" wrapText="1"/>
    </xf>
    <xf numFmtId="0" fontId="17" fillId="5" borderId="0" xfId="2" applyFont="1" applyFill="1" applyAlignment="1">
      <alignment horizontal="left" vertical="top"/>
    </xf>
    <xf numFmtId="0" fontId="18" fillId="5" borderId="0" xfId="0" applyFont="1" applyFill="1" applyAlignment="1">
      <alignment horizontal="left" vertical="top"/>
    </xf>
    <xf numFmtId="0" fontId="19" fillId="7" borderId="0" xfId="2" applyFont="1" applyFill="1" applyAlignment="1">
      <alignment horizontal="left" vertical="top"/>
    </xf>
    <xf numFmtId="49" fontId="19" fillId="7" borderId="0" xfId="2" applyNumberFormat="1" applyFont="1" applyFill="1" applyAlignment="1">
      <alignment horizontal="left" vertical="top"/>
    </xf>
    <xf numFmtId="0" fontId="19" fillId="7" borderId="0" xfId="2" applyFont="1" applyFill="1" applyAlignment="1">
      <alignment horizontal="left" vertical="top" wrapText="1"/>
    </xf>
    <xf numFmtId="0" fontId="20" fillId="7" borderId="0" xfId="2" applyFont="1" applyFill="1" applyAlignment="1">
      <alignment horizontal="left" vertical="top"/>
    </xf>
    <xf numFmtId="0" fontId="14" fillId="7" borderId="0" xfId="0" applyFont="1" applyFill="1" applyAlignment="1">
      <alignment horizontal="left" vertical="top"/>
    </xf>
    <xf numFmtId="0" fontId="19" fillId="0" borderId="0" xfId="2" applyFont="1" applyAlignment="1">
      <alignment horizontal="left"/>
    </xf>
    <xf numFmtId="0" fontId="21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9" fillId="0" borderId="0" xfId="0" quotePrefix="1" applyFont="1" applyAlignment="1">
      <alignment horizontal="left"/>
    </xf>
    <xf numFmtId="3" fontId="21" fillId="0" borderId="0" xfId="0" quotePrefix="1" applyNumberFormat="1" applyFont="1" applyAlignment="1">
      <alignment horizontal="left"/>
    </xf>
    <xf numFmtId="49" fontId="14" fillId="0" borderId="0" xfId="0" applyNumberFormat="1" applyFont="1" applyAlignment="1">
      <alignment horizontal="left"/>
    </xf>
    <xf numFmtId="49" fontId="14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0" xfId="0" quotePrefix="1" applyFont="1" applyAlignment="1">
      <alignment horizontal="center" vertical="center" wrapText="1"/>
    </xf>
    <xf numFmtId="0" fontId="11" fillId="0" borderId="0" xfId="0" quotePrefix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49" fontId="21" fillId="0" borderId="0" xfId="0" applyNumberFormat="1" applyFont="1" applyAlignment="1">
      <alignment horizontal="left"/>
    </xf>
    <xf numFmtId="0" fontId="14" fillId="0" borderId="0" xfId="0" quotePrefix="1" applyFont="1" applyAlignment="1">
      <alignment horizontal="left"/>
    </xf>
    <xf numFmtId="49" fontId="21" fillId="0" borderId="0" xfId="0" quotePrefix="1" applyNumberFormat="1" applyFont="1" applyAlignment="1">
      <alignment horizontal="left"/>
    </xf>
    <xf numFmtId="0" fontId="21" fillId="0" borderId="0" xfId="0" applyFont="1"/>
    <xf numFmtId="0" fontId="14" fillId="0" borderId="0" xfId="0" applyFont="1"/>
    <xf numFmtId="0" fontId="14" fillId="6" borderId="0" xfId="0" applyFont="1" applyFill="1"/>
    <xf numFmtId="0" fontId="14" fillId="6" borderId="0" xfId="0" applyFont="1" applyFill="1" applyAlignment="1">
      <alignment horizontal="left"/>
    </xf>
    <xf numFmtId="1" fontId="19" fillId="0" borderId="0" xfId="0" applyNumberFormat="1" applyFont="1" applyAlignment="1">
      <alignment horizontal="left"/>
    </xf>
    <xf numFmtId="0" fontId="24" fillId="0" borderId="0" xfId="0" applyFont="1"/>
    <xf numFmtId="2" fontId="14" fillId="6" borderId="0" xfId="0" applyNumberFormat="1" applyFont="1" applyFill="1" applyAlignment="1">
      <alignment horizontal="left"/>
    </xf>
    <xf numFmtId="0" fontId="26" fillId="6" borderId="0" xfId="0" applyFont="1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49" fontId="26" fillId="8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49" fontId="26" fillId="6" borderId="0" xfId="3" applyNumberFormat="1" applyFont="1" applyFill="1" applyBorder="1" applyAlignment="1">
      <alignment horizontal="center" vertical="center"/>
    </xf>
    <xf numFmtId="187" fontId="26" fillId="6" borderId="0" xfId="0" applyNumberFormat="1" applyFont="1" applyFill="1" applyAlignment="1">
      <alignment horizontal="center" vertical="center"/>
    </xf>
    <xf numFmtId="49" fontId="26" fillId="6" borderId="0" xfId="0" applyNumberFormat="1" applyFont="1" applyFill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188" fontId="26" fillId="5" borderId="0" xfId="0" applyNumberFormat="1" applyFont="1" applyFill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49" fontId="26" fillId="5" borderId="0" xfId="0" applyNumberFormat="1" applyFont="1" applyFill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189" fontId="29" fillId="2" borderId="0" xfId="0" applyNumberFormat="1" applyFont="1" applyFill="1" applyAlignment="1">
      <alignment horizontal="left" vertical="top"/>
    </xf>
    <xf numFmtId="0" fontId="29" fillId="2" borderId="0" xfId="0" applyFont="1" applyFill="1" applyAlignment="1">
      <alignment horizontal="left" vertical="top"/>
    </xf>
    <xf numFmtId="0" fontId="29" fillId="2" borderId="0" xfId="2" applyFont="1" applyFill="1" applyAlignment="1">
      <alignment horizontal="left" vertical="top"/>
    </xf>
    <xf numFmtId="190" fontId="30" fillId="2" borderId="0" xfId="0" applyNumberFormat="1" applyFont="1" applyFill="1" applyAlignment="1">
      <alignment horizontal="left" vertical="top"/>
    </xf>
    <xf numFmtId="14" fontId="29" fillId="2" borderId="0" xfId="0" applyNumberFormat="1" applyFont="1" applyFill="1" applyAlignment="1">
      <alignment horizontal="left" vertical="top"/>
    </xf>
    <xf numFmtId="49" fontId="29" fillId="2" borderId="0" xfId="2" quotePrefix="1" applyNumberFormat="1" applyFont="1" applyFill="1" applyAlignment="1">
      <alignment horizontal="left" vertical="top"/>
    </xf>
    <xf numFmtId="49" fontId="31" fillId="2" borderId="5" xfId="0" applyNumberFormat="1" applyFont="1" applyFill="1" applyBorder="1" applyAlignment="1">
      <alignment vertical="top" wrapText="1"/>
    </xf>
    <xf numFmtId="0" fontId="31" fillId="2" borderId="5" xfId="0" applyFont="1" applyFill="1" applyBorder="1" applyAlignment="1">
      <alignment vertical="top"/>
    </xf>
    <xf numFmtId="0" fontId="29" fillId="2" borderId="0" xfId="0" quotePrefix="1" applyFont="1" applyFill="1" applyAlignment="1">
      <alignment horizontal="left" vertical="top"/>
    </xf>
    <xf numFmtId="49" fontId="29" fillId="2" borderId="0" xfId="3" quotePrefix="1" applyNumberFormat="1" applyFont="1" applyFill="1" applyAlignment="1">
      <alignment horizontal="left" vertical="top"/>
    </xf>
    <xf numFmtId="187" fontId="29" fillId="2" borderId="0" xfId="0" applyNumberFormat="1" applyFont="1" applyFill="1" applyAlignment="1">
      <alignment horizontal="left" vertical="top"/>
    </xf>
    <xf numFmtId="49" fontId="29" fillId="2" borderId="0" xfId="0" applyNumberFormat="1" applyFont="1" applyFill="1" applyAlignment="1">
      <alignment horizontal="left" vertical="top"/>
    </xf>
    <xf numFmtId="49" fontId="29" fillId="2" borderId="0" xfId="0" quotePrefix="1" applyNumberFormat="1" applyFont="1" applyFill="1" applyAlignment="1" applyProtection="1">
      <alignment horizontal="left" vertical="top"/>
      <protection locked="0"/>
    </xf>
    <xf numFmtId="0" fontId="3" fillId="2" borderId="0" xfId="0" applyFont="1" applyFill="1" applyAlignment="1">
      <alignment horizontal="left" vertical="top"/>
    </xf>
    <xf numFmtId="49" fontId="29" fillId="2" borderId="0" xfId="0" quotePrefix="1" applyNumberFormat="1" applyFont="1" applyFill="1" applyAlignment="1">
      <alignment horizontal="left" vertical="top"/>
    </xf>
    <xf numFmtId="188" fontId="29" fillId="2" borderId="0" xfId="0" applyNumberFormat="1" applyFont="1" applyFill="1" applyAlignment="1">
      <alignment horizontal="left" vertical="top"/>
    </xf>
    <xf numFmtId="2" fontId="29" fillId="2" borderId="0" xfId="0" applyNumberFormat="1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49" fontId="3" fillId="0" borderId="0" xfId="3" quotePrefix="1" applyNumberFormat="1" applyFont="1" applyAlignment="1">
      <alignment horizontal="left" vertical="top"/>
    </xf>
    <xf numFmtId="187" fontId="3" fillId="0" borderId="0" xfId="0" applyNumberFormat="1" applyFont="1" applyAlignment="1">
      <alignment horizontal="left" vertical="top"/>
    </xf>
    <xf numFmtId="188" fontId="3" fillId="0" borderId="0" xfId="0" applyNumberFormat="1" applyFont="1" applyAlignment="1">
      <alignment horizontal="left" vertical="top"/>
    </xf>
    <xf numFmtId="4" fontId="10" fillId="0" borderId="0" xfId="0" applyNumberFormat="1" applyFont="1"/>
    <xf numFmtId="3" fontId="31" fillId="0" borderId="0" xfId="0" applyNumberFormat="1" applyFont="1"/>
    <xf numFmtId="190" fontId="34" fillId="0" borderId="0" xfId="4" applyNumberFormat="1" applyFont="1"/>
    <xf numFmtId="0" fontId="10" fillId="0" borderId="0" xfId="0" quotePrefix="1" applyFont="1"/>
    <xf numFmtId="0" fontId="10" fillId="0" borderId="0" xfId="0" applyFont="1" applyAlignment="1">
      <alignment wrapText="1"/>
    </xf>
    <xf numFmtId="0" fontId="35" fillId="0" borderId="0" xfId="0" applyFont="1"/>
    <xf numFmtId="190" fontId="35" fillId="0" borderId="0" xfId="4" applyNumberFormat="1" applyFont="1"/>
    <xf numFmtId="0" fontId="35" fillId="0" borderId="0" xfId="0" quotePrefix="1" applyFont="1"/>
    <xf numFmtId="4" fontId="35" fillId="0" borderId="0" xfId="0" applyNumberFormat="1" applyFont="1"/>
    <xf numFmtId="0" fontId="35" fillId="0" borderId="0" xfId="0" applyFont="1" applyAlignment="1">
      <alignment wrapText="1"/>
    </xf>
    <xf numFmtId="0" fontId="10" fillId="5" borderId="0" xfId="0" applyFont="1" applyFill="1"/>
    <xf numFmtId="190" fontId="34" fillId="5" borderId="0" xfId="4" applyNumberFormat="1" applyFont="1" applyFill="1"/>
    <xf numFmtId="0" fontId="21" fillId="5" borderId="0" xfId="0" applyFont="1" applyFill="1"/>
    <xf numFmtId="4" fontId="10" fillId="5" borderId="0" xfId="0" applyNumberFormat="1" applyFont="1" applyFill="1"/>
    <xf numFmtId="0" fontId="10" fillId="5" borderId="0" xfId="0" applyFont="1" applyFill="1" applyAlignment="1">
      <alignment wrapText="1"/>
    </xf>
    <xf numFmtId="0" fontId="21" fillId="5" borderId="0" xfId="0" applyFont="1" applyFill="1" applyAlignment="1">
      <alignment horizontal="left"/>
    </xf>
    <xf numFmtId="49" fontId="14" fillId="5" borderId="0" xfId="0" applyNumberFormat="1" applyFont="1" applyFill="1" applyAlignment="1">
      <alignment horizontal="left"/>
    </xf>
    <xf numFmtId="0" fontId="35" fillId="5" borderId="0" xfId="0" applyFont="1" applyFill="1"/>
    <xf numFmtId="190" fontId="35" fillId="5" borderId="0" xfId="4" applyNumberFormat="1" applyFont="1" applyFill="1"/>
    <xf numFmtId="49" fontId="36" fillId="5" borderId="0" xfId="0" applyNumberFormat="1" applyFont="1" applyFill="1" applyAlignment="1">
      <alignment horizontal="left"/>
    </xf>
    <xf numFmtId="4" fontId="35" fillId="5" borderId="0" xfId="0" applyNumberFormat="1" applyFont="1" applyFill="1"/>
    <xf numFmtId="0" fontId="35" fillId="5" borderId="0" xfId="0" applyFont="1" applyFill="1" applyAlignment="1">
      <alignment wrapText="1"/>
    </xf>
    <xf numFmtId="0" fontId="31" fillId="0" borderId="0" xfId="0" applyFont="1"/>
    <xf numFmtId="0" fontId="9" fillId="0" borderId="0" xfId="0" applyFont="1" applyAlignment="1">
      <alignment vertical="center"/>
    </xf>
    <xf numFmtId="0" fontId="23" fillId="0" borderId="0" xfId="0" applyFont="1"/>
    <xf numFmtId="0" fontId="9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4" fontId="23" fillId="0" borderId="0" xfId="0" applyNumberFormat="1" applyFont="1"/>
    <xf numFmtId="2" fontId="23" fillId="0" borderId="0" xfId="0" applyNumberFormat="1" applyFont="1"/>
    <xf numFmtId="190" fontId="35" fillId="0" borderId="0" xfId="4" applyNumberFormat="1" applyFont="1" applyAlignment="1">
      <alignment horizontal="left"/>
    </xf>
    <xf numFmtId="0" fontId="23" fillId="6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3" fontId="10" fillId="0" borderId="3" xfId="0" applyNumberFormat="1" applyFont="1" applyBorder="1" applyAlignment="1">
      <alignment horizontal="left" vertical="center" wrapText="1"/>
    </xf>
    <xf numFmtId="3" fontId="10" fillId="0" borderId="2" xfId="0" applyNumberFormat="1" applyFont="1" applyBorder="1" applyAlignment="1">
      <alignment horizontal="left" vertical="center" wrapText="1"/>
    </xf>
    <xf numFmtId="4" fontId="10" fillId="0" borderId="3" xfId="0" applyNumberFormat="1" applyFont="1" applyBorder="1" applyAlignment="1">
      <alignment horizontal="left" vertical="center" wrapText="1"/>
    </xf>
    <xf numFmtId="4" fontId="10" fillId="0" borderId="2" xfId="0" applyNumberFormat="1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</cellXfs>
  <cellStyles count="5">
    <cellStyle name="Comma" xfId="3" builtinId="3"/>
    <cellStyle name="Normal" xfId="0" builtinId="0"/>
    <cellStyle name="Normal 2" xfId="4" xr:uid="{348AC2C7-32AD-4A09-A87F-114B9822B5E5}"/>
    <cellStyle name="Normal 2 2" xfId="2" xr:uid="{156DA8A3-5200-41D9-8F48-13B194B37B61}"/>
    <cellStyle name="RowLevel_1" xfId="1" builtinId="1" iLevel="0"/>
  </cellStyles>
  <dxfs count="1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99CCFF"/>
        </patternFill>
      </fill>
    </dxf>
    <dxf>
      <fill>
        <patternFill>
          <bgColor rgb="FF99CCFF"/>
        </patternFill>
      </fill>
    </dxf>
    <dxf>
      <fill>
        <patternFill>
          <bgColor rgb="FF99CCFF"/>
        </patternFill>
      </fill>
    </dxf>
    <dxf>
      <fill>
        <patternFill>
          <bgColor theme="8" tint="0.79998168889431442"/>
        </patternFill>
      </fill>
    </dxf>
    <dxf>
      <fill>
        <patternFill>
          <bgColor rgb="FF99CCFF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rgb="FF99CCFF"/>
        </patternFill>
      </fill>
    </dxf>
    <dxf>
      <fill>
        <patternFill>
          <bgColor rgb="FF99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12</xdr:row>
      <xdr:rowOff>85725</xdr:rowOff>
    </xdr:from>
    <xdr:to>
      <xdr:col>12</xdr:col>
      <xdr:colOff>276225</xdr:colOff>
      <xdr:row>60</xdr:row>
      <xdr:rowOff>180975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EAC875B-3F79-208E-1E9E-43ECCA03DA9B}"/>
            </a:ext>
          </a:extLst>
        </xdr:cNvPr>
        <xdr:cNvGrpSpPr/>
      </xdr:nvGrpSpPr>
      <xdr:grpSpPr>
        <a:xfrm>
          <a:off x="7124700" y="2219325"/>
          <a:ext cx="5810250" cy="9401175"/>
          <a:chOff x="6477000" y="1581150"/>
          <a:chExt cx="5810250" cy="9429750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D1272F25-61B3-A6EB-30E8-1F6EC33395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77000" y="1581150"/>
            <a:ext cx="5200650" cy="9020527"/>
          </a:xfrm>
          <a:prstGeom prst="rect">
            <a:avLst/>
          </a:prstGeom>
          <a:noFill/>
        </xdr:spPr>
      </xdr:pic>
      <xdr:sp macro="" textlink="">
        <xdr:nvSpPr>
          <xdr:cNvPr id="3" name="Speech Bubble: Rectangle 2">
            <a:extLst>
              <a:ext uri="{FF2B5EF4-FFF2-40B4-BE49-F238E27FC236}">
                <a16:creationId xmlns:a16="http://schemas.microsoft.com/office/drawing/2014/main" id="{3EE3AA2D-448B-43F5-81A0-278A64E0C1B9}"/>
              </a:ext>
            </a:extLst>
          </xdr:cNvPr>
          <xdr:cNvSpPr/>
        </xdr:nvSpPr>
        <xdr:spPr>
          <a:xfrm>
            <a:off x="8382000" y="9734551"/>
            <a:ext cx="3905250" cy="1276349"/>
          </a:xfrm>
          <a:prstGeom prst="wedgeRectCallout">
            <a:avLst>
              <a:gd name="adj1" fmla="val -60724"/>
              <a:gd name="adj2" fmla="val -228"/>
            </a:avLst>
          </a:prstGeom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th-TH" sz="10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ปุ่ม ดำเนินการ = สำหรับเลือกให้รายงานคำนวณเงินตกเบิกของ </a:t>
            </a:r>
            <a:r>
              <a:rPr lang="en-US" sz="10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Time </a:t>
            </a:r>
            <a:r>
              <a:rPr lang="th-TH" sz="10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ที่มาจาก </a:t>
            </a:r>
            <a:r>
              <a:rPr lang="en-US" sz="10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TMS </a:t>
            </a:r>
            <a:r>
              <a:rPr lang="th-TH" sz="10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กรณีปรับเงินเดือนย้อนหลัง ตามที่ได้เลือกเงื่อนไขการค้นหาไว้ โดยเป็นการแสดงที่หน้าจอรายงาน</a:t>
            </a:r>
            <a:endParaRPr lang="en-US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endParaRPr lang="th-TH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l"/>
            <a:r>
              <a:rPr lang="th-TH" sz="10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ปุ่ม ส่งออก = สำหรับเลือก ส่งออก ข้อมูลการคำนวณเงินตกเบิกของ </a:t>
            </a:r>
            <a:r>
              <a:rPr lang="en-US" sz="10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Time </a:t>
            </a:r>
            <a:r>
              <a:rPr lang="th-TH" sz="10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ที่มาจาก </a:t>
            </a:r>
            <a:r>
              <a:rPr lang="en-US" sz="10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TMS </a:t>
            </a:r>
            <a:r>
              <a:rPr lang="th-TH" sz="10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กรณีปรับเงินเดือนย้อนหลัง ตามที่ได้เลือกเงื่อนไขการค้นหาไว้ เป็นไฟล์ </a:t>
            </a:r>
            <a:r>
              <a:rPr lang="en-US" sz="10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Excel (XLS,XLSX) </a:t>
            </a:r>
          </a:p>
        </xdr:txBody>
      </xdr:sp>
    </xdr:grpSp>
    <xdr:clientData/>
  </xdr:twoCellAnchor>
  <xdr:twoCellAnchor>
    <xdr:from>
      <xdr:col>0</xdr:col>
      <xdr:colOff>228599</xdr:colOff>
      <xdr:row>41</xdr:row>
      <xdr:rowOff>171450</xdr:rowOff>
    </xdr:from>
    <xdr:to>
      <xdr:col>3</xdr:col>
      <xdr:colOff>3057524</xdr:colOff>
      <xdr:row>55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0702F3-4AF8-0B9A-7720-F49250DBCED4}"/>
            </a:ext>
          </a:extLst>
        </xdr:cNvPr>
        <xdr:cNvSpPr txBox="1"/>
      </xdr:nvSpPr>
      <xdr:spPr>
        <a:xfrm>
          <a:off x="228599" y="8172450"/>
          <a:ext cx="5743575" cy="237172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cs typeface="+mn-cs"/>
            </a:rPr>
            <a:t>1.</a:t>
          </a:r>
          <a:r>
            <a:rPr lang="en-US" sz="1000" baseline="0">
              <a:cs typeface="+mn-cs"/>
            </a:rPr>
            <a:t> </a:t>
          </a:r>
          <a:r>
            <a:rPr lang="th-TH" sz="1000">
              <a:cs typeface="+mn-cs"/>
            </a:rPr>
            <a:t>เมื่อกดดำเนินการรายงาน หรือส่งออก </a:t>
          </a:r>
          <a:r>
            <a:rPr lang="en-US" sz="1000">
              <a:cs typeface="+mn-cs"/>
            </a:rPr>
            <a:t>Excel </a:t>
          </a:r>
          <a:r>
            <a:rPr lang="th-TH" sz="1000">
              <a:cs typeface="+mn-cs"/>
            </a:rPr>
            <a:t>พร้อมกับเลือก </a:t>
          </a:r>
          <a:r>
            <a:rPr lang="en-US" sz="1000">
              <a:cs typeface="+mn-cs"/>
            </a:rPr>
            <a:t>Action = Yes </a:t>
          </a:r>
          <a:endParaRPr lang="th-TH" sz="1000">
            <a:cs typeface="+mn-cs"/>
          </a:endParaRPr>
        </a:p>
        <a:p>
          <a:r>
            <a:rPr lang="en-US" sz="1000">
              <a:cs typeface="+mn-cs"/>
            </a:rPr>
            <a:t>-&gt;</a:t>
          </a:r>
          <a:r>
            <a:rPr lang="en-US" sz="1000" baseline="0">
              <a:cs typeface="+mn-cs"/>
            </a:rPr>
            <a:t> </a:t>
          </a:r>
          <a:r>
            <a:rPr lang="th-TH" sz="1000">
              <a:cs typeface="+mn-cs"/>
            </a:rPr>
            <a:t>ระบบจะคำนวณเงินตกเบิกของ </a:t>
          </a:r>
          <a:r>
            <a:rPr lang="en-US" sz="1000">
              <a:cs typeface="+mn-cs"/>
            </a:rPr>
            <a:t>Time </a:t>
          </a:r>
          <a:r>
            <a:rPr lang="th-TH" sz="1000">
              <a:cs typeface="+mn-cs"/>
            </a:rPr>
            <a:t>ที่มาจาก </a:t>
          </a:r>
          <a:r>
            <a:rPr lang="en-US" sz="1000">
              <a:cs typeface="+mn-cs"/>
            </a:rPr>
            <a:t>TMS </a:t>
          </a:r>
          <a:r>
            <a:rPr lang="th-TH" sz="1000">
              <a:cs typeface="+mn-cs"/>
            </a:rPr>
            <a:t>กรณีปรับเงินเดือนย้อนหลัง เข้าไปที่หน้าจอเงินเพิ่ม-หัก ครั้งเดียว </a:t>
          </a:r>
          <a:endParaRPr lang="en-US" sz="1000">
            <a:cs typeface="+mn-cs"/>
          </a:endParaRPr>
        </a:p>
        <a:p>
          <a:r>
            <a:rPr lang="en-US" sz="1000" baseline="0">
              <a:cs typeface="+mn-cs"/>
            </a:rPr>
            <a:t>    - </a:t>
          </a:r>
          <a:r>
            <a:rPr lang="th-TH" sz="1000">
              <a:cs typeface="+mn-cs"/>
            </a:rPr>
            <a:t>เลขที่เอกสาร จะสร้างอัตโนมัติ จากระบบ @</a:t>
          </a:r>
          <a:r>
            <a:rPr lang="en-US" sz="1000">
              <a:cs typeface="+mn-cs"/>
            </a:rPr>
            <a:t>Core 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- </a:t>
          </a:r>
          <a:r>
            <a:rPr lang="th-TH" sz="1000">
              <a:cs typeface="+mn-cs"/>
            </a:rPr>
            <a:t>สถานะ = อนุมัติ จะสร้างอัตโนมัติจากระบบ @</a:t>
          </a:r>
          <a:r>
            <a:rPr lang="en-US" sz="1000">
              <a:cs typeface="+mn-cs"/>
            </a:rPr>
            <a:t>Core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- </a:t>
          </a:r>
          <a:r>
            <a:rPr lang="en-US" sz="1000">
              <a:cs typeface="+mn-cs"/>
            </a:rPr>
            <a:t>Date </a:t>
          </a:r>
          <a:r>
            <a:rPr lang="th-TH" sz="1000">
              <a:cs typeface="+mn-cs"/>
            </a:rPr>
            <a:t>จะเป็นวันที่มีผลของรายงานที่กดดำเนินการมา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- </a:t>
          </a:r>
          <a:r>
            <a:rPr lang="th-TH" sz="1000">
              <a:cs typeface="+mn-cs"/>
            </a:rPr>
            <a:t>หมายเหตุ จะแสดงข้อความ </a:t>
          </a:r>
          <a:r>
            <a:rPr lang="en-US" sz="1000">
              <a:cs typeface="+mn-cs"/>
            </a:rPr>
            <a:t>Auto Calculated From Time Arrears Calculator : </a:t>
          </a:r>
          <a:r>
            <a:rPr lang="th-TH" sz="1000">
              <a:cs typeface="+mn-cs"/>
            </a:rPr>
            <a:t>และตามด้วยวันที่มีผลจากการรันรายงาน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- </a:t>
          </a:r>
          <a:r>
            <a:rPr lang="en-US" sz="1000">
              <a:cs typeface="+mn-cs"/>
            </a:rPr>
            <a:t>Income/Deduction Item </a:t>
          </a:r>
          <a:r>
            <a:rPr lang="th-TH" sz="1000">
              <a:cs typeface="+mn-cs"/>
            </a:rPr>
            <a:t>รายละเอียด ตามตาราง ที่จะถูกส่งไปคำนวณ </a:t>
          </a:r>
          <a:r>
            <a:rPr lang="en-US" sz="1000">
              <a:cs typeface="+mn-cs"/>
            </a:rPr>
            <a:t>Payroll </a:t>
          </a:r>
          <a:r>
            <a:rPr lang="th-TH" sz="1000">
              <a:cs typeface="+mn-cs"/>
            </a:rPr>
            <a:t>ต่อไป</a:t>
          </a:r>
          <a:endParaRPr lang="en-US" sz="1000">
            <a:cs typeface="+mn-cs"/>
          </a:endParaRPr>
        </a:p>
        <a:p>
          <a:endParaRPr lang="th-TH" sz="1000">
            <a:cs typeface="+mn-cs"/>
          </a:endParaRPr>
        </a:p>
        <a:p>
          <a:r>
            <a:rPr lang="en-US" sz="1000">
              <a:cs typeface="+mn-cs"/>
            </a:rPr>
            <a:t>2. </a:t>
          </a:r>
          <a:r>
            <a:rPr lang="th-TH" sz="1000">
              <a:cs typeface="+mn-cs"/>
            </a:rPr>
            <a:t>หากมีการกดดำเนินการซ้ำ โดยเลือก </a:t>
          </a:r>
          <a:r>
            <a:rPr lang="en-US" sz="1000">
              <a:solidFill>
                <a:srgbClr val="0070C0"/>
              </a:solidFill>
              <a:cs typeface="+mn-cs"/>
            </a:rPr>
            <a:t>Action = Yes + </a:t>
          </a:r>
          <a:r>
            <a:rPr lang="th-TH" sz="1000">
              <a:solidFill>
                <a:srgbClr val="0070C0"/>
              </a:solidFill>
              <a:cs typeface="+mn-cs"/>
            </a:rPr>
            <a:t>วันที่มีผลเดียวกัน</a:t>
          </a:r>
          <a:r>
            <a:rPr lang="th-TH" sz="1000" baseline="0">
              <a:solidFill>
                <a:srgbClr val="0070C0"/>
              </a:solidFill>
              <a:cs typeface="+mn-cs"/>
            </a:rPr>
            <a:t> 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th-TH" sz="1000">
              <a:cs typeface="+mn-cs"/>
            </a:rPr>
            <a:t>ระบบจะสร้างเอกสารเงินเพิ่ม-หัก ครั้งเดียว ให้ใหม่ทุกครั้ง โดยที่ไม่สนใจเอกสารมีการรันก่อนหน้า</a:t>
          </a:r>
        </a:p>
        <a:p>
          <a:r>
            <a:rPr lang="th-TH" sz="1000">
              <a:cs typeface="+mn-cs"/>
            </a:rPr>
            <a:t>(</a:t>
          </a:r>
          <a:r>
            <a:rPr lang="en-US" sz="1000">
              <a:cs typeface="+mn-cs"/>
            </a:rPr>
            <a:t>user</a:t>
          </a:r>
          <a:r>
            <a:rPr lang="en-US" sz="1000" baseline="0">
              <a:cs typeface="+mn-cs"/>
            </a:rPr>
            <a:t> </a:t>
          </a:r>
          <a:r>
            <a:rPr lang="th-TH" sz="1000" baseline="0">
              <a:cs typeface="+mn-cs"/>
            </a:rPr>
            <a:t>จะต้องมายกเลิกเอกสารเอง</a:t>
          </a:r>
          <a:r>
            <a:rPr lang="th-TH" sz="1000">
              <a:cs typeface="+mn-cs"/>
            </a:rPr>
            <a:t>)</a:t>
          </a:r>
        </a:p>
        <a:p>
          <a:endParaRPr lang="th-TH" sz="1000">
            <a:cs typeface="+mn-cs"/>
          </a:endParaRPr>
        </a:p>
      </xdr:txBody>
    </xdr:sp>
    <xdr:clientData/>
  </xdr:twoCellAnchor>
  <xdr:twoCellAnchor editAs="oneCell">
    <xdr:from>
      <xdr:col>5</xdr:col>
      <xdr:colOff>333375</xdr:colOff>
      <xdr:row>60</xdr:row>
      <xdr:rowOff>104775</xdr:rowOff>
    </xdr:from>
    <xdr:to>
      <xdr:col>14</xdr:col>
      <xdr:colOff>363220</xdr:colOff>
      <xdr:row>66</xdr:row>
      <xdr:rowOff>307340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F1BF289-7D96-9B8E-448A-1B568C017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11544300"/>
          <a:ext cx="6202045" cy="236474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333375</xdr:colOff>
      <xdr:row>67</xdr:row>
      <xdr:rowOff>28575</xdr:rowOff>
    </xdr:from>
    <xdr:to>
      <xdr:col>14</xdr:col>
      <xdr:colOff>209550</xdr:colOff>
      <xdr:row>76</xdr:row>
      <xdr:rowOff>103505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7202F52-D51D-96F4-63D6-9C3C5B185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72300" y="14068425"/>
          <a:ext cx="6048375" cy="1617980"/>
        </a:xfrm>
        <a:prstGeom prst="rect">
          <a:avLst/>
        </a:prstGeom>
      </xdr:spPr>
    </xdr:pic>
    <xdr:clientData/>
  </xdr:twoCellAnchor>
  <xdr:twoCellAnchor editAs="oneCell">
    <xdr:from>
      <xdr:col>5</xdr:col>
      <xdr:colOff>342900</xdr:colOff>
      <xdr:row>77</xdr:row>
      <xdr:rowOff>190500</xdr:rowOff>
    </xdr:from>
    <xdr:to>
      <xdr:col>14</xdr:col>
      <xdr:colOff>201295</xdr:colOff>
      <xdr:row>84</xdr:row>
      <xdr:rowOff>132715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80FE7F9-EDB4-CE7D-611A-C8AEAF9A4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81825" y="15944850"/>
          <a:ext cx="6030595" cy="22758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1</xdr:row>
      <xdr:rowOff>19050</xdr:rowOff>
    </xdr:from>
    <xdr:to>
      <xdr:col>12</xdr:col>
      <xdr:colOff>266700</xdr:colOff>
      <xdr:row>8</xdr:row>
      <xdr:rowOff>0</xdr:rowOff>
    </xdr:to>
    <xdr:sp macro="" textlink="">
      <xdr:nvSpPr>
        <xdr:cNvPr id="2" name="Callout: Line with Border and Accent Bar 1">
          <a:extLst>
            <a:ext uri="{FF2B5EF4-FFF2-40B4-BE49-F238E27FC236}">
              <a16:creationId xmlns:a16="http://schemas.microsoft.com/office/drawing/2014/main" id="{DD99A494-B01E-4BE7-8D2D-774347F7562A}"/>
            </a:ext>
          </a:extLst>
        </xdr:cNvPr>
        <xdr:cNvSpPr/>
      </xdr:nvSpPr>
      <xdr:spPr>
        <a:xfrm>
          <a:off x="8324850" y="180975"/>
          <a:ext cx="1524000" cy="914400"/>
        </a:xfrm>
        <a:prstGeom prst="accentBorderCallout1">
          <a:avLst>
            <a:gd name="adj1" fmla="val 18750"/>
            <a:gd name="adj2" fmla="val -8333"/>
            <a:gd name="adj3" fmla="val 51250"/>
            <a:gd name="adj4" fmla="val -55208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100"/>
            <a:t>รายการจากผลการทำงานพิเศษ</a:t>
          </a:r>
        </a:p>
      </xdr:txBody>
    </xdr:sp>
    <xdr:clientData/>
  </xdr:twoCellAnchor>
  <xdr:twoCellAnchor>
    <xdr:from>
      <xdr:col>10</xdr:col>
      <xdr:colOff>114300</xdr:colOff>
      <xdr:row>8</xdr:row>
      <xdr:rowOff>76200</xdr:rowOff>
    </xdr:from>
    <xdr:to>
      <xdr:col>12</xdr:col>
      <xdr:colOff>266700</xdr:colOff>
      <xdr:row>14</xdr:row>
      <xdr:rowOff>76200</xdr:rowOff>
    </xdr:to>
    <xdr:sp macro="" textlink="">
      <xdr:nvSpPr>
        <xdr:cNvPr id="3" name="Callout: Line with Border and Accent Bar 2">
          <a:extLst>
            <a:ext uri="{FF2B5EF4-FFF2-40B4-BE49-F238E27FC236}">
              <a16:creationId xmlns:a16="http://schemas.microsoft.com/office/drawing/2014/main" id="{05303FDD-DDA4-4E68-9E06-A8CE526240ED}"/>
            </a:ext>
          </a:extLst>
        </xdr:cNvPr>
        <xdr:cNvSpPr/>
      </xdr:nvSpPr>
      <xdr:spPr>
        <a:xfrm>
          <a:off x="8324850" y="1171575"/>
          <a:ext cx="1524000" cy="914400"/>
        </a:xfrm>
        <a:prstGeom prst="accentBorderCallout1">
          <a:avLst>
            <a:gd name="adj1" fmla="val 18750"/>
            <a:gd name="adj2" fmla="val -8333"/>
            <a:gd name="adj3" fmla="val 35625"/>
            <a:gd name="adj4" fmla="val -57083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100"/>
            <a:t>รายการจาก </a:t>
          </a:r>
          <a:r>
            <a:rPr lang="en-US" sz="1100"/>
            <a:t>Payroll</a:t>
          </a:r>
          <a:r>
            <a:rPr lang="en-US" sz="1100" baseline="0"/>
            <a:t> </a:t>
          </a:r>
          <a:r>
            <a:rPr lang="th-TH" sz="1100" baseline="0"/>
            <a:t>ที่รายงานรันมา</a:t>
          </a:r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55E3-6AF0-4F69-9905-C0520CC6FDEA}">
  <sheetPr>
    <tabColor rgb="FFFFFF00"/>
  </sheetPr>
  <dimension ref="A1:J129"/>
  <sheetViews>
    <sheetView showGridLines="0" tabSelected="1" workbookViewId="0">
      <selection activeCell="A10" sqref="A10:A12"/>
    </sheetView>
  </sheetViews>
  <sheetFormatPr defaultRowHeight="14.25" x14ac:dyDescent="0.2"/>
  <cols>
    <col min="2" max="2" width="14.75" customWidth="1"/>
    <col min="3" max="3" width="14.5" customWidth="1"/>
    <col min="4" max="4" width="48.875" customWidth="1"/>
    <col min="5" max="5" width="16" style="63" customWidth="1"/>
  </cols>
  <sheetData>
    <row r="1" spans="1:10" s="5" customFormat="1" ht="11.25" x14ac:dyDescent="0.2">
      <c r="A1" s="4" t="s">
        <v>0</v>
      </c>
      <c r="E1" s="56"/>
    </row>
    <row r="2" spans="1:10" s="5" customFormat="1" ht="11.25" x14ac:dyDescent="0.2">
      <c r="A2" s="4" t="s">
        <v>1</v>
      </c>
      <c r="E2" s="56"/>
    </row>
    <row r="3" spans="1:10" s="5" customFormat="1" ht="11.25" x14ac:dyDescent="0.2">
      <c r="A3" s="5" t="s">
        <v>2</v>
      </c>
      <c r="B3" s="5" t="s">
        <v>3</v>
      </c>
      <c r="E3" s="56"/>
    </row>
    <row r="4" spans="1:10" s="5" customFormat="1" ht="11.25" x14ac:dyDescent="0.2">
      <c r="A4" s="5" t="s">
        <v>4</v>
      </c>
      <c r="B4" s="5" t="s">
        <v>5</v>
      </c>
      <c r="E4" s="56"/>
    </row>
    <row r="5" spans="1:10" s="5" customFormat="1" ht="11.25" x14ac:dyDescent="0.2">
      <c r="A5" s="5" t="s">
        <v>6</v>
      </c>
      <c r="B5" s="5" t="s">
        <v>8</v>
      </c>
      <c r="E5" s="56"/>
    </row>
    <row r="6" spans="1:10" s="5" customFormat="1" ht="11.25" x14ac:dyDescent="0.2">
      <c r="E6" s="56"/>
    </row>
    <row r="7" spans="1:10" s="5" customFormat="1" ht="11.25" x14ac:dyDescent="0.2">
      <c r="A7" s="4" t="s">
        <v>7</v>
      </c>
      <c r="E7" s="56"/>
    </row>
    <row r="8" spans="1:10" s="5" customFormat="1" ht="11.25" x14ac:dyDescent="0.2">
      <c r="E8" s="56"/>
    </row>
    <row r="9" spans="1:10" s="8" customFormat="1" ht="26.25" customHeight="1" x14ac:dyDescent="0.15">
      <c r="A9" s="6" t="s">
        <v>12</v>
      </c>
      <c r="B9" s="7"/>
      <c r="C9" s="7"/>
      <c r="D9" s="7"/>
      <c r="E9" s="57"/>
      <c r="F9" s="7"/>
      <c r="G9" s="7"/>
      <c r="H9" s="7"/>
      <c r="I9" s="7"/>
      <c r="J9" s="7"/>
    </row>
    <row r="10" spans="1:10" s="10" customFormat="1" ht="17.25" customHeight="1" x14ac:dyDescent="0.2">
      <c r="A10" s="9" t="s">
        <v>9</v>
      </c>
      <c r="E10" s="11"/>
      <c r="F10" s="11"/>
    </row>
    <row r="11" spans="1:10" s="12" customFormat="1" ht="17.25" customHeight="1" x14ac:dyDescent="0.2">
      <c r="A11" s="9" t="s">
        <v>11</v>
      </c>
      <c r="E11" s="58"/>
    </row>
    <row r="12" spans="1:10" s="12" customFormat="1" ht="17.25" customHeight="1" x14ac:dyDescent="0.2">
      <c r="A12" s="9" t="s">
        <v>10</v>
      </c>
      <c r="E12" s="58"/>
    </row>
    <row r="14" spans="1:10" s="8" customFormat="1" ht="21.75" customHeight="1" x14ac:dyDescent="0.2">
      <c r="A14" s="23" t="s">
        <v>66</v>
      </c>
      <c r="B14" s="13"/>
      <c r="C14" s="13"/>
      <c r="D14" s="13"/>
      <c r="E14" s="63"/>
    </row>
    <row r="15" spans="1:10" ht="20.25" customHeight="1" x14ac:dyDescent="0.2">
      <c r="A15" s="14" t="s">
        <v>13</v>
      </c>
      <c r="B15" s="14" t="s">
        <v>14</v>
      </c>
      <c r="C15" s="14" t="s">
        <v>15</v>
      </c>
      <c r="D15" s="14" t="s">
        <v>16</v>
      </c>
    </row>
    <row r="16" spans="1:10" x14ac:dyDescent="0.2">
      <c r="A16" s="15">
        <v>1</v>
      </c>
      <c r="B16" s="16" t="s">
        <v>17</v>
      </c>
      <c r="C16" s="3" t="s">
        <v>18</v>
      </c>
      <c r="D16" s="17" t="s">
        <v>62</v>
      </c>
    </row>
    <row r="17" spans="1:5" x14ac:dyDescent="0.2">
      <c r="A17" s="15">
        <v>2</v>
      </c>
      <c r="B17" s="16" t="s">
        <v>19</v>
      </c>
      <c r="C17" s="3" t="s">
        <v>18</v>
      </c>
      <c r="D17" s="17" t="s">
        <v>63</v>
      </c>
    </row>
    <row r="18" spans="1:5" ht="21" x14ac:dyDescent="0.2">
      <c r="A18" s="145">
        <v>3</v>
      </c>
      <c r="B18" s="146" t="s">
        <v>20</v>
      </c>
      <c r="C18" s="1" t="s">
        <v>18</v>
      </c>
      <c r="D18" s="20" t="s">
        <v>21</v>
      </c>
    </row>
    <row r="19" spans="1:5" x14ac:dyDescent="0.2">
      <c r="A19" s="145"/>
      <c r="B19" s="146"/>
      <c r="C19" s="1"/>
      <c r="D19" s="22" t="s">
        <v>22</v>
      </c>
      <c r="E19" s="60"/>
    </row>
    <row r="20" spans="1:5" ht="21" x14ac:dyDescent="0.2">
      <c r="A20" s="145"/>
      <c r="B20" s="146"/>
      <c r="C20" s="1"/>
      <c r="D20" s="21" t="s">
        <v>23</v>
      </c>
      <c r="E20" s="60"/>
    </row>
    <row r="21" spans="1:5" x14ac:dyDescent="0.2">
      <c r="A21" s="15">
        <v>4</v>
      </c>
      <c r="B21" s="19" t="s">
        <v>24</v>
      </c>
      <c r="C21" s="15" t="s">
        <v>25</v>
      </c>
      <c r="D21" s="20" t="s">
        <v>26</v>
      </c>
      <c r="E21" s="60"/>
    </row>
    <row r="22" spans="1:5" ht="13.5" customHeight="1" x14ac:dyDescent="0.2">
      <c r="A22" s="18">
        <v>5</v>
      </c>
      <c r="B22" s="19" t="s">
        <v>27</v>
      </c>
      <c r="C22" s="15" t="s">
        <v>25</v>
      </c>
      <c r="D22" s="20" t="s">
        <v>28</v>
      </c>
      <c r="E22" s="60"/>
    </row>
    <row r="23" spans="1:5" x14ac:dyDescent="0.2">
      <c r="A23" s="149">
        <v>6</v>
      </c>
      <c r="B23" s="146" t="s">
        <v>29</v>
      </c>
      <c r="C23" s="1" t="s">
        <v>18</v>
      </c>
      <c r="D23" s="20" t="s">
        <v>64</v>
      </c>
      <c r="E23" s="60"/>
    </row>
    <row r="24" spans="1:5" ht="25.5" customHeight="1" x14ac:dyDescent="0.2">
      <c r="A24" s="149"/>
      <c r="B24" s="146"/>
      <c r="C24" s="1"/>
      <c r="D24" s="32" t="s">
        <v>30</v>
      </c>
      <c r="E24" s="61"/>
    </row>
    <row r="25" spans="1:5" ht="25.5" customHeight="1" x14ac:dyDescent="0.2">
      <c r="A25" s="149"/>
      <c r="B25" s="146"/>
      <c r="C25" s="1"/>
      <c r="D25" s="33" t="s">
        <v>31</v>
      </c>
      <c r="E25" s="62"/>
    </row>
    <row r="26" spans="1:5" x14ac:dyDescent="0.2">
      <c r="A26" s="18">
        <v>7</v>
      </c>
      <c r="B26" s="19" t="s">
        <v>32</v>
      </c>
      <c r="C26" s="15" t="s">
        <v>25</v>
      </c>
      <c r="D26" s="20" t="s">
        <v>33</v>
      </c>
      <c r="E26" s="60"/>
    </row>
    <row r="27" spans="1:5" x14ac:dyDescent="0.2">
      <c r="A27" s="18">
        <v>8</v>
      </c>
      <c r="B27" s="19" t="s">
        <v>34</v>
      </c>
      <c r="C27" s="15" t="s">
        <v>25</v>
      </c>
      <c r="D27" s="20" t="s">
        <v>35</v>
      </c>
      <c r="E27" s="60"/>
    </row>
    <row r="28" spans="1:5" x14ac:dyDescent="0.2">
      <c r="A28" s="18">
        <v>9</v>
      </c>
      <c r="B28" s="19" t="s">
        <v>36</v>
      </c>
      <c r="C28" s="15" t="s">
        <v>25</v>
      </c>
      <c r="D28" s="20" t="s">
        <v>37</v>
      </c>
      <c r="E28" s="60"/>
    </row>
    <row r="29" spans="1:5" x14ac:dyDescent="0.2">
      <c r="A29" s="18">
        <v>10</v>
      </c>
      <c r="B29" s="19" t="s">
        <v>38</v>
      </c>
      <c r="C29" s="15" t="s">
        <v>25</v>
      </c>
      <c r="D29" s="17" t="s">
        <v>39</v>
      </c>
      <c r="E29" s="60"/>
    </row>
    <row r="30" spans="1:5" x14ac:dyDescent="0.2">
      <c r="A30" s="18">
        <v>11</v>
      </c>
      <c r="B30" s="19" t="s">
        <v>40</v>
      </c>
      <c r="C30" s="15" t="s">
        <v>25</v>
      </c>
      <c r="D30" s="17" t="s">
        <v>41</v>
      </c>
      <c r="E30" s="60"/>
    </row>
    <row r="31" spans="1:5" x14ac:dyDescent="0.2">
      <c r="A31" s="18">
        <v>12</v>
      </c>
      <c r="B31" s="19" t="s">
        <v>42</v>
      </c>
      <c r="C31" s="15" t="s">
        <v>25</v>
      </c>
      <c r="D31" s="17" t="s">
        <v>43</v>
      </c>
      <c r="E31" s="60"/>
    </row>
    <row r="32" spans="1:5" x14ac:dyDescent="0.2">
      <c r="A32" s="18">
        <v>13</v>
      </c>
      <c r="B32" s="19" t="s">
        <v>44</v>
      </c>
      <c r="C32" s="15" t="s">
        <v>25</v>
      </c>
      <c r="D32" s="17" t="s">
        <v>45</v>
      </c>
      <c r="E32" s="60"/>
    </row>
    <row r="33" spans="1:5" x14ac:dyDescent="0.2">
      <c r="A33" s="18">
        <v>14</v>
      </c>
      <c r="B33" s="19" t="s">
        <v>46</v>
      </c>
      <c r="C33" s="15" t="s">
        <v>25</v>
      </c>
      <c r="D33" s="17" t="s">
        <v>47</v>
      </c>
      <c r="E33" s="60"/>
    </row>
    <row r="34" spans="1:5" x14ac:dyDescent="0.2">
      <c r="A34" s="18">
        <v>15</v>
      </c>
      <c r="B34" s="19" t="s">
        <v>48</v>
      </c>
      <c r="C34" s="15" t="s">
        <v>25</v>
      </c>
      <c r="D34" s="17" t="s">
        <v>49</v>
      </c>
      <c r="E34" s="60"/>
    </row>
    <row r="35" spans="1:5" x14ac:dyDescent="0.2">
      <c r="A35" s="18">
        <v>16</v>
      </c>
      <c r="B35" s="19" t="s">
        <v>50</v>
      </c>
      <c r="C35" s="15" t="s">
        <v>25</v>
      </c>
      <c r="D35" s="17" t="s">
        <v>51</v>
      </c>
      <c r="E35" s="60"/>
    </row>
    <row r="36" spans="1:5" x14ac:dyDescent="0.2">
      <c r="A36" s="18">
        <v>17</v>
      </c>
      <c r="B36" s="19" t="s">
        <v>52</v>
      </c>
      <c r="C36" s="15" t="s">
        <v>25</v>
      </c>
      <c r="D36" s="17" t="s">
        <v>53</v>
      </c>
      <c r="E36" s="60"/>
    </row>
    <row r="37" spans="1:5" x14ac:dyDescent="0.2">
      <c r="A37" s="18">
        <v>18</v>
      </c>
      <c r="B37" s="19" t="s">
        <v>54</v>
      </c>
      <c r="C37" s="15" t="s">
        <v>25</v>
      </c>
      <c r="D37" s="17" t="s">
        <v>55</v>
      </c>
      <c r="E37" s="60"/>
    </row>
    <row r="38" spans="1:5" x14ac:dyDescent="0.2">
      <c r="A38" s="18">
        <v>19</v>
      </c>
      <c r="B38" s="19" t="s">
        <v>56</v>
      </c>
      <c r="C38" s="15" t="s">
        <v>25</v>
      </c>
      <c r="D38" s="17" t="s">
        <v>57</v>
      </c>
      <c r="E38" s="60"/>
    </row>
    <row r="39" spans="1:5" x14ac:dyDescent="0.2">
      <c r="A39" s="18">
        <v>20</v>
      </c>
      <c r="B39" s="19" t="s">
        <v>58</v>
      </c>
      <c r="C39" s="15" t="s">
        <v>25</v>
      </c>
      <c r="D39" s="17" t="s">
        <v>59</v>
      </c>
      <c r="E39" s="60"/>
    </row>
    <row r="40" spans="1:5" x14ac:dyDescent="0.2">
      <c r="A40" s="18">
        <v>21</v>
      </c>
      <c r="B40" s="19" t="s">
        <v>60</v>
      </c>
      <c r="C40" s="15" t="s">
        <v>25</v>
      </c>
      <c r="D40" s="17" t="s">
        <v>61</v>
      </c>
      <c r="E40" s="60"/>
    </row>
    <row r="61" spans="1:5" s="8" customFormat="1" ht="21.75" customHeight="1" x14ac:dyDescent="0.15">
      <c r="A61" s="23" t="s">
        <v>65</v>
      </c>
      <c r="B61" s="13"/>
      <c r="C61" s="13"/>
      <c r="D61" s="13"/>
      <c r="E61" s="59"/>
    </row>
    <row r="62" spans="1:5" s="24" customFormat="1" ht="19.5" customHeight="1" x14ac:dyDescent="0.15">
      <c r="A62" s="25" t="s">
        <v>13</v>
      </c>
      <c r="B62" s="14" t="s">
        <v>14</v>
      </c>
      <c r="C62" s="14" t="s">
        <v>67</v>
      </c>
      <c r="D62" s="14" t="s">
        <v>16</v>
      </c>
      <c r="E62" s="14" t="s">
        <v>171</v>
      </c>
    </row>
    <row r="63" spans="1:5" s="24" customFormat="1" ht="25.5" customHeight="1" x14ac:dyDescent="0.15">
      <c r="A63" s="26">
        <v>1</v>
      </c>
      <c r="B63" s="17" t="s">
        <v>24</v>
      </c>
      <c r="C63" s="27" t="s">
        <v>69</v>
      </c>
      <c r="D63" s="27" t="s">
        <v>68</v>
      </c>
      <c r="E63" s="64"/>
    </row>
    <row r="64" spans="1:5" s="24" customFormat="1" ht="34.5" customHeight="1" x14ac:dyDescent="0.15">
      <c r="A64" s="26">
        <v>2</v>
      </c>
      <c r="B64" s="17" t="s">
        <v>166</v>
      </c>
      <c r="C64" s="27" t="s">
        <v>69</v>
      </c>
      <c r="D64" s="27" t="s">
        <v>167</v>
      </c>
      <c r="E64" s="64"/>
    </row>
    <row r="65" spans="1:5" s="24" customFormat="1" ht="34.5" customHeight="1" x14ac:dyDescent="0.15">
      <c r="A65" s="26">
        <v>3</v>
      </c>
      <c r="B65" s="17" t="s">
        <v>70</v>
      </c>
      <c r="C65" s="27" t="s">
        <v>71</v>
      </c>
      <c r="D65" s="27" t="s">
        <v>168</v>
      </c>
      <c r="E65" s="64"/>
    </row>
    <row r="66" spans="1:5" s="24" customFormat="1" ht="34.5" customHeight="1" x14ac:dyDescent="0.15">
      <c r="A66" s="26">
        <v>4</v>
      </c>
      <c r="B66" s="17" t="s">
        <v>72</v>
      </c>
      <c r="C66" s="27" t="s">
        <v>73</v>
      </c>
      <c r="D66" s="27" t="s">
        <v>169</v>
      </c>
      <c r="E66" s="64"/>
    </row>
    <row r="67" spans="1:5" s="24" customFormat="1" ht="34.5" customHeight="1" x14ac:dyDescent="0.15">
      <c r="A67" s="26">
        <v>5</v>
      </c>
      <c r="B67" s="17" t="s">
        <v>74</v>
      </c>
      <c r="C67" s="27" t="s">
        <v>75</v>
      </c>
      <c r="D67" s="27" t="s">
        <v>170</v>
      </c>
      <c r="E67" s="64"/>
    </row>
    <row r="68" spans="1:5" s="24" customFormat="1" ht="13.5" customHeight="1" x14ac:dyDescent="0.15">
      <c r="A68" s="26">
        <v>6</v>
      </c>
      <c r="B68" s="17" t="s">
        <v>76</v>
      </c>
      <c r="C68" s="27">
        <v>450012</v>
      </c>
      <c r="D68" s="27" t="s">
        <v>77</v>
      </c>
      <c r="E68" s="64"/>
    </row>
    <row r="69" spans="1:5" s="24" customFormat="1" ht="13.5" customHeight="1" x14ac:dyDescent="0.15">
      <c r="A69" s="26">
        <v>7</v>
      </c>
      <c r="B69" s="17" t="s">
        <v>78</v>
      </c>
      <c r="C69" s="27" t="s">
        <v>80</v>
      </c>
      <c r="D69" s="27" t="s">
        <v>79</v>
      </c>
      <c r="E69" s="64"/>
    </row>
    <row r="70" spans="1:5" s="24" customFormat="1" ht="13.5" customHeight="1" x14ac:dyDescent="0.15">
      <c r="A70" s="26">
        <v>8</v>
      </c>
      <c r="B70" s="17" t="s">
        <v>81</v>
      </c>
      <c r="C70" s="27" t="s">
        <v>83</v>
      </c>
      <c r="D70" s="27" t="s">
        <v>82</v>
      </c>
      <c r="E70" s="64"/>
    </row>
    <row r="71" spans="1:5" s="24" customFormat="1" ht="13.5" customHeight="1" x14ac:dyDescent="0.15">
      <c r="A71" s="26">
        <v>9</v>
      </c>
      <c r="B71" s="17" t="s">
        <v>84</v>
      </c>
      <c r="C71" s="27" t="s">
        <v>86</v>
      </c>
      <c r="D71" s="27" t="s">
        <v>85</v>
      </c>
      <c r="E71" s="64"/>
    </row>
    <row r="72" spans="1:5" s="24" customFormat="1" ht="13.5" customHeight="1" x14ac:dyDescent="0.15">
      <c r="A72" s="26">
        <v>10</v>
      </c>
      <c r="B72" s="17" t="s">
        <v>87</v>
      </c>
      <c r="C72" s="27" t="s">
        <v>89</v>
      </c>
      <c r="D72" s="27" t="s">
        <v>88</v>
      </c>
      <c r="E72" s="64"/>
    </row>
    <row r="73" spans="1:5" s="24" customFormat="1" ht="13.5" customHeight="1" x14ac:dyDescent="0.15">
      <c r="A73" s="26">
        <v>11</v>
      </c>
      <c r="B73" s="17" t="s">
        <v>90</v>
      </c>
      <c r="C73" s="27" t="s">
        <v>92</v>
      </c>
      <c r="D73" s="27" t="s">
        <v>91</v>
      </c>
      <c r="E73" s="64"/>
    </row>
    <row r="74" spans="1:5" s="24" customFormat="1" ht="13.5" customHeight="1" x14ac:dyDescent="0.15">
      <c r="A74" s="26">
        <v>12</v>
      </c>
      <c r="B74" s="17" t="s">
        <v>93</v>
      </c>
      <c r="C74" s="27" t="s">
        <v>95</v>
      </c>
      <c r="D74" s="27" t="s">
        <v>94</v>
      </c>
      <c r="E74" s="64"/>
    </row>
    <row r="75" spans="1:5" s="24" customFormat="1" ht="13.5" customHeight="1" x14ac:dyDescent="0.15">
      <c r="A75" s="26">
        <v>13</v>
      </c>
      <c r="B75" s="17" t="s">
        <v>96</v>
      </c>
      <c r="C75" s="27" t="s">
        <v>98</v>
      </c>
      <c r="D75" s="27" t="s">
        <v>97</v>
      </c>
      <c r="E75" s="64"/>
    </row>
    <row r="76" spans="1:5" s="24" customFormat="1" ht="13.5" customHeight="1" x14ac:dyDescent="0.15">
      <c r="A76" s="26">
        <v>14</v>
      </c>
      <c r="B76" s="17" t="s">
        <v>99</v>
      </c>
      <c r="C76" s="28">
        <v>35000</v>
      </c>
      <c r="D76" s="27" t="s">
        <v>100</v>
      </c>
      <c r="E76" s="64" t="s">
        <v>261</v>
      </c>
    </row>
    <row r="77" spans="1:5" s="24" customFormat="1" ht="13.5" customHeight="1" x14ac:dyDescent="0.15">
      <c r="A77" s="26">
        <v>15</v>
      </c>
      <c r="B77" s="17" t="s">
        <v>101</v>
      </c>
      <c r="C77" s="28">
        <v>42500</v>
      </c>
      <c r="D77" s="27" t="s">
        <v>102</v>
      </c>
      <c r="E77" s="64"/>
    </row>
    <row r="78" spans="1:5" s="24" customFormat="1" ht="23.25" customHeight="1" x14ac:dyDescent="0.15">
      <c r="A78" s="147">
        <v>16</v>
      </c>
      <c r="B78" s="148" t="s">
        <v>103</v>
      </c>
      <c r="C78" s="151">
        <v>7500</v>
      </c>
      <c r="D78" s="2" t="s">
        <v>104</v>
      </c>
      <c r="E78" s="65"/>
    </row>
    <row r="79" spans="1:5" s="24" customFormat="1" ht="29.25" customHeight="1" x14ac:dyDescent="0.15">
      <c r="A79" s="147"/>
      <c r="B79" s="148"/>
      <c r="C79" s="152"/>
      <c r="D79" s="31" t="s">
        <v>298</v>
      </c>
      <c r="E79" s="66"/>
    </row>
    <row r="80" spans="1:5" s="24" customFormat="1" ht="35.25" customHeight="1" x14ac:dyDescent="0.15">
      <c r="A80" s="26">
        <v>17</v>
      </c>
      <c r="B80" s="17" t="s">
        <v>131</v>
      </c>
      <c r="C80" s="29">
        <v>1166.67</v>
      </c>
      <c r="D80" s="27" t="s">
        <v>105</v>
      </c>
      <c r="E80" s="64">
        <v>2005</v>
      </c>
    </row>
    <row r="81" spans="1:5" s="24" customFormat="1" ht="23.25" customHeight="1" x14ac:dyDescent="0.15">
      <c r="A81" s="147">
        <v>18</v>
      </c>
      <c r="B81" s="148" t="s">
        <v>132</v>
      </c>
      <c r="C81" s="153">
        <v>1416.67</v>
      </c>
      <c r="D81" s="2" t="s">
        <v>106</v>
      </c>
      <c r="E81" s="65"/>
    </row>
    <row r="82" spans="1:5" s="24" customFormat="1" ht="23.25" customHeight="1" x14ac:dyDescent="0.15">
      <c r="A82" s="147"/>
      <c r="B82" s="148"/>
      <c r="C82" s="154"/>
      <c r="D82" s="31" t="s">
        <v>107</v>
      </c>
      <c r="E82" s="66"/>
    </row>
    <row r="83" spans="1:5" s="24" customFormat="1" ht="23.25" customHeight="1" x14ac:dyDescent="0.15">
      <c r="A83" s="147">
        <v>19</v>
      </c>
      <c r="B83" s="148" t="s">
        <v>133</v>
      </c>
      <c r="C83" s="155">
        <v>250</v>
      </c>
      <c r="D83" s="2" t="s">
        <v>108</v>
      </c>
      <c r="E83" s="65"/>
    </row>
    <row r="84" spans="1:5" s="24" customFormat="1" ht="26.25" customHeight="1" x14ac:dyDescent="0.15">
      <c r="A84" s="147"/>
      <c r="B84" s="148"/>
      <c r="C84" s="156"/>
      <c r="D84" s="31" t="s">
        <v>288</v>
      </c>
      <c r="E84" s="66"/>
    </row>
    <row r="85" spans="1:5" s="24" customFormat="1" ht="34.5" customHeight="1" x14ac:dyDescent="0.15">
      <c r="A85" s="26">
        <v>20</v>
      </c>
      <c r="B85" s="30" t="s">
        <v>109</v>
      </c>
      <c r="C85" s="27">
        <v>145.83000000000001</v>
      </c>
      <c r="D85" s="27" t="s">
        <v>134</v>
      </c>
      <c r="E85" s="64" t="s">
        <v>262</v>
      </c>
    </row>
    <row r="86" spans="1:5" s="24" customFormat="1" ht="23.25" customHeight="1" x14ac:dyDescent="0.15">
      <c r="A86" s="147">
        <v>21</v>
      </c>
      <c r="B86" s="150" t="s">
        <v>110</v>
      </c>
      <c r="C86" s="155">
        <v>177.08</v>
      </c>
      <c r="D86" s="2" t="s">
        <v>135</v>
      </c>
      <c r="E86" s="65"/>
    </row>
    <row r="87" spans="1:5" s="24" customFormat="1" ht="23.25" customHeight="1" x14ac:dyDescent="0.15">
      <c r="A87" s="147"/>
      <c r="B87" s="150"/>
      <c r="C87" s="156"/>
      <c r="D87" s="31" t="s">
        <v>107</v>
      </c>
      <c r="E87" s="66"/>
    </row>
    <row r="88" spans="1:5" s="24" customFormat="1" ht="23.25" customHeight="1" x14ac:dyDescent="0.15">
      <c r="A88" s="147">
        <v>22</v>
      </c>
      <c r="B88" s="150" t="s">
        <v>136</v>
      </c>
      <c r="C88" s="155">
        <v>31.25</v>
      </c>
      <c r="D88" s="2" t="s">
        <v>137</v>
      </c>
      <c r="E88" s="65"/>
    </row>
    <row r="89" spans="1:5" s="24" customFormat="1" ht="23.25" customHeight="1" x14ac:dyDescent="0.15">
      <c r="A89" s="147"/>
      <c r="B89" s="150"/>
      <c r="C89" s="156"/>
      <c r="D89" s="31" t="s">
        <v>289</v>
      </c>
      <c r="E89" s="66"/>
    </row>
    <row r="90" spans="1:5" s="24" customFormat="1" ht="36" customHeight="1" x14ac:dyDescent="0.15">
      <c r="A90" s="26">
        <v>23</v>
      </c>
      <c r="B90" s="30" t="s">
        <v>111</v>
      </c>
      <c r="C90" s="27">
        <v>291.67</v>
      </c>
      <c r="D90" s="27" t="s">
        <v>138</v>
      </c>
      <c r="E90" s="64" t="s">
        <v>263</v>
      </c>
    </row>
    <row r="91" spans="1:5" s="24" customFormat="1" ht="23.25" customHeight="1" x14ac:dyDescent="0.15">
      <c r="A91" s="147">
        <v>24</v>
      </c>
      <c r="B91" s="150" t="s">
        <v>112</v>
      </c>
      <c r="C91" s="155">
        <v>354.17</v>
      </c>
      <c r="D91" s="2" t="s">
        <v>139</v>
      </c>
      <c r="E91" s="65"/>
    </row>
    <row r="92" spans="1:5" s="24" customFormat="1" ht="23.25" customHeight="1" x14ac:dyDescent="0.15">
      <c r="A92" s="147"/>
      <c r="B92" s="150"/>
      <c r="C92" s="156"/>
      <c r="D92" s="31" t="s">
        <v>107</v>
      </c>
      <c r="E92" s="66"/>
    </row>
    <row r="93" spans="1:5" s="24" customFormat="1" ht="23.25" customHeight="1" x14ac:dyDescent="0.15">
      <c r="A93" s="147">
        <v>25</v>
      </c>
      <c r="B93" s="150" t="s">
        <v>140</v>
      </c>
      <c r="C93" s="2">
        <v>62.5</v>
      </c>
      <c r="D93" s="2" t="s">
        <v>141</v>
      </c>
      <c r="E93" s="65"/>
    </row>
    <row r="94" spans="1:5" s="24" customFormat="1" ht="23.25" customHeight="1" x14ac:dyDescent="0.15">
      <c r="A94" s="147"/>
      <c r="B94" s="150"/>
      <c r="C94" s="31"/>
      <c r="D94" s="31" t="s">
        <v>297</v>
      </c>
      <c r="E94" s="66"/>
    </row>
    <row r="95" spans="1:5" s="24" customFormat="1" ht="34.5" customHeight="1" x14ac:dyDescent="0.15">
      <c r="A95" s="26">
        <v>26</v>
      </c>
      <c r="B95" s="30" t="s">
        <v>113</v>
      </c>
      <c r="C95" s="27">
        <v>218.75</v>
      </c>
      <c r="D95" s="27" t="s">
        <v>142</v>
      </c>
      <c r="E95" s="64" t="s">
        <v>265</v>
      </c>
    </row>
    <row r="96" spans="1:5" s="24" customFormat="1" ht="23.25" customHeight="1" x14ac:dyDescent="0.15">
      <c r="A96" s="147">
        <v>27</v>
      </c>
      <c r="B96" s="150" t="s">
        <v>114</v>
      </c>
      <c r="C96" s="155">
        <v>265.62</v>
      </c>
      <c r="D96" s="2" t="s">
        <v>143</v>
      </c>
      <c r="E96" s="65"/>
    </row>
    <row r="97" spans="1:5" s="24" customFormat="1" ht="23.25" customHeight="1" x14ac:dyDescent="0.15">
      <c r="A97" s="147"/>
      <c r="B97" s="150"/>
      <c r="C97" s="156"/>
      <c r="D97" s="31" t="s">
        <v>107</v>
      </c>
      <c r="E97" s="66"/>
    </row>
    <row r="98" spans="1:5" s="24" customFormat="1" ht="23.25" customHeight="1" x14ac:dyDescent="0.15">
      <c r="A98" s="147">
        <v>28</v>
      </c>
      <c r="B98" s="150" t="s">
        <v>144</v>
      </c>
      <c r="C98" s="2">
        <v>46.87</v>
      </c>
      <c r="D98" s="2" t="s">
        <v>145</v>
      </c>
      <c r="E98" s="65"/>
    </row>
    <row r="99" spans="1:5" s="24" customFormat="1" ht="42" customHeight="1" x14ac:dyDescent="0.15">
      <c r="A99" s="147"/>
      <c r="B99" s="150"/>
      <c r="C99" s="31"/>
      <c r="D99" s="31" t="s">
        <v>296</v>
      </c>
      <c r="E99" s="66"/>
    </row>
    <row r="100" spans="1:5" s="24" customFormat="1" ht="34.5" customHeight="1" x14ac:dyDescent="0.15">
      <c r="A100" s="26">
        <v>29</v>
      </c>
      <c r="B100" s="30" t="s">
        <v>115</v>
      </c>
      <c r="C100" s="27">
        <v>437.5</v>
      </c>
      <c r="D100" s="27" t="s">
        <v>146</v>
      </c>
      <c r="E100" s="64" t="s">
        <v>264</v>
      </c>
    </row>
    <row r="101" spans="1:5" s="24" customFormat="1" ht="23.25" customHeight="1" x14ac:dyDescent="0.15">
      <c r="A101" s="147">
        <v>30</v>
      </c>
      <c r="B101" s="150" t="s">
        <v>116</v>
      </c>
      <c r="C101" s="155">
        <v>531.25</v>
      </c>
      <c r="D101" s="2" t="s">
        <v>147</v>
      </c>
      <c r="E101" s="65"/>
    </row>
    <row r="102" spans="1:5" s="24" customFormat="1" ht="23.25" customHeight="1" x14ac:dyDescent="0.15">
      <c r="A102" s="147"/>
      <c r="B102" s="150"/>
      <c r="C102" s="156"/>
      <c r="D102" s="31" t="s">
        <v>107</v>
      </c>
      <c r="E102" s="66"/>
    </row>
    <row r="103" spans="1:5" s="24" customFormat="1" ht="23.25" customHeight="1" x14ac:dyDescent="0.15">
      <c r="A103" s="147">
        <v>31</v>
      </c>
      <c r="B103" s="150" t="s">
        <v>148</v>
      </c>
      <c r="C103" s="155">
        <v>93.75</v>
      </c>
      <c r="D103" s="2" t="s">
        <v>149</v>
      </c>
      <c r="E103" s="65"/>
    </row>
    <row r="104" spans="1:5" s="24" customFormat="1" ht="23.25" customHeight="1" x14ac:dyDescent="0.15">
      <c r="A104" s="147"/>
      <c r="B104" s="150"/>
      <c r="C104" s="156"/>
      <c r="D104" s="31" t="s">
        <v>295</v>
      </c>
      <c r="E104" s="66"/>
    </row>
    <row r="105" spans="1:5" s="24" customFormat="1" ht="36.75" customHeight="1" x14ac:dyDescent="0.15">
      <c r="A105" s="26">
        <v>32</v>
      </c>
      <c r="B105" s="17" t="s">
        <v>117</v>
      </c>
      <c r="C105" s="29">
        <v>1166.67</v>
      </c>
      <c r="D105" s="27" t="s">
        <v>118</v>
      </c>
      <c r="E105" s="64" t="s">
        <v>284</v>
      </c>
    </row>
    <row r="106" spans="1:5" s="24" customFormat="1" ht="23.25" customHeight="1" x14ac:dyDescent="0.15">
      <c r="A106" s="147">
        <v>33</v>
      </c>
      <c r="B106" s="148" t="s">
        <v>150</v>
      </c>
      <c r="C106" s="155">
        <v>1416.67</v>
      </c>
      <c r="D106" s="2" t="s">
        <v>119</v>
      </c>
      <c r="E106" s="65"/>
    </row>
    <row r="107" spans="1:5" s="24" customFormat="1" ht="23.25" customHeight="1" x14ac:dyDescent="0.15">
      <c r="A107" s="147"/>
      <c r="B107" s="148"/>
      <c r="C107" s="156"/>
      <c r="D107" s="31" t="s">
        <v>107</v>
      </c>
      <c r="E107" s="66"/>
    </row>
    <row r="108" spans="1:5" s="24" customFormat="1" ht="23.25" customHeight="1" x14ac:dyDescent="0.15">
      <c r="A108" s="147">
        <v>34</v>
      </c>
      <c r="B108" s="148" t="s">
        <v>151</v>
      </c>
      <c r="C108" s="155">
        <v>250</v>
      </c>
      <c r="D108" s="2" t="s">
        <v>120</v>
      </c>
      <c r="E108" s="65"/>
    </row>
    <row r="109" spans="1:5" s="24" customFormat="1" ht="23.25" customHeight="1" x14ac:dyDescent="0.15">
      <c r="A109" s="147"/>
      <c r="B109" s="148"/>
      <c r="C109" s="156"/>
      <c r="D109" s="31" t="s">
        <v>294</v>
      </c>
      <c r="E109" s="66"/>
    </row>
    <row r="110" spans="1:5" s="24" customFormat="1" ht="37.5" customHeight="1" x14ac:dyDescent="0.15">
      <c r="A110" s="26">
        <v>35</v>
      </c>
      <c r="B110" s="17" t="s">
        <v>121</v>
      </c>
      <c r="C110" s="27">
        <v>330</v>
      </c>
      <c r="D110" s="27" t="s">
        <v>122</v>
      </c>
      <c r="E110" s="64" t="s">
        <v>266</v>
      </c>
    </row>
    <row r="111" spans="1:5" s="24" customFormat="1" ht="23.25" customHeight="1" x14ac:dyDescent="0.15">
      <c r="A111" s="147">
        <v>36</v>
      </c>
      <c r="B111" s="148" t="s">
        <v>152</v>
      </c>
      <c r="C111" s="155">
        <v>350</v>
      </c>
      <c r="D111" s="2" t="s">
        <v>123</v>
      </c>
      <c r="E111" s="65"/>
    </row>
    <row r="112" spans="1:5" s="24" customFormat="1" ht="23.25" customHeight="1" x14ac:dyDescent="0.15">
      <c r="A112" s="147"/>
      <c r="B112" s="148"/>
      <c r="C112" s="156"/>
      <c r="D112" s="31" t="s">
        <v>107</v>
      </c>
      <c r="E112" s="66"/>
    </row>
    <row r="113" spans="1:5" s="24" customFormat="1" ht="23.25" customHeight="1" x14ac:dyDescent="0.15">
      <c r="A113" s="147">
        <v>37</v>
      </c>
      <c r="B113" s="148" t="s">
        <v>153</v>
      </c>
      <c r="C113" s="155">
        <v>20</v>
      </c>
      <c r="D113" s="2" t="s">
        <v>124</v>
      </c>
      <c r="E113" s="65"/>
    </row>
    <row r="114" spans="1:5" s="24" customFormat="1" ht="23.25" customHeight="1" x14ac:dyDescent="0.15">
      <c r="A114" s="147"/>
      <c r="B114" s="148"/>
      <c r="C114" s="156"/>
      <c r="D114" s="31" t="s">
        <v>293</v>
      </c>
      <c r="E114" s="66"/>
    </row>
    <row r="115" spans="1:5" s="24" customFormat="1" ht="39" customHeight="1" x14ac:dyDescent="0.15">
      <c r="A115" s="26">
        <v>38</v>
      </c>
      <c r="B115" s="30" t="s">
        <v>125</v>
      </c>
      <c r="C115" s="29">
        <v>1166.67</v>
      </c>
      <c r="D115" s="27" t="s">
        <v>154</v>
      </c>
      <c r="E115" s="64" t="s">
        <v>268</v>
      </c>
    </row>
    <row r="116" spans="1:5" s="24" customFormat="1" ht="23.25" customHeight="1" x14ac:dyDescent="0.15">
      <c r="A116" s="147">
        <v>39</v>
      </c>
      <c r="B116" s="150" t="s">
        <v>126</v>
      </c>
      <c r="C116" s="155">
        <v>1416.67</v>
      </c>
      <c r="D116" s="2" t="s">
        <v>155</v>
      </c>
      <c r="E116" s="65"/>
    </row>
    <row r="117" spans="1:5" s="24" customFormat="1" ht="23.25" customHeight="1" x14ac:dyDescent="0.15">
      <c r="A117" s="147"/>
      <c r="B117" s="150"/>
      <c r="C117" s="156"/>
      <c r="D117" s="31" t="s">
        <v>107</v>
      </c>
      <c r="E117" s="66"/>
    </row>
    <row r="118" spans="1:5" s="24" customFormat="1" ht="23.25" customHeight="1" x14ac:dyDescent="0.15">
      <c r="A118" s="147">
        <v>40</v>
      </c>
      <c r="B118" s="150" t="s">
        <v>156</v>
      </c>
      <c r="C118" s="2">
        <v>250</v>
      </c>
      <c r="D118" s="2" t="s">
        <v>157</v>
      </c>
      <c r="E118" s="65"/>
    </row>
    <row r="119" spans="1:5" s="24" customFormat="1" ht="23.25" customHeight="1" x14ac:dyDescent="0.15">
      <c r="A119" s="147"/>
      <c r="B119" s="150"/>
      <c r="C119" s="31"/>
      <c r="D119" s="31" t="s">
        <v>292</v>
      </c>
      <c r="E119" s="66"/>
    </row>
    <row r="120" spans="1:5" s="24" customFormat="1" ht="33.75" customHeight="1" x14ac:dyDescent="0.15">
      <c r="A120" s="26">
        <v>41</v>
      </c>
      <c r="B120" s="30" t="s">
        <v>127</v>
      </c>
      <c r="C120" s="27">
        <v>2.4300000000000002</v>
      </c>
      <c r="D120" s="27" t="s">
        <v>158</v>
      </c>
      <c r="E120" s="64" t="s">
        <v>285</v>
      </c>
    </row>
    <row r="121" spans="1:5" s="24" customFormat="1" ht="23.25" customHeight="1" x14ac:dyDescent="0.15">
      <c r="A121" s="147">
        <v>42</v>
      </c>
      <c r="B121" s="150" t="s">
        <v>128</v>
      </c>
      <c r="C121" s="2">
        <v>2.95</v>
      </c>
      <c r="D121" s="2" t="s">
        <v>159</v>
      </c>
      <c r="E121" s="65"/>
    </row>
    <row r="122" spans="1:5" s="24" customFormat="1" ht="23.25" customHeight="1" x14ac:dyDescent="0.15">
      <c r="A122" s="147"/>
      <c r="B122" s="150"/>
      <c r="C122" s="31"/>
      <c r="D122" s="31" t="s">
        <v>107</v>
      </c>
      <c r="E122" s="66"/>
    </row>
    <row r="123" spans="1:5" s="24" customFormat="1" ht="23.25" customHeight="1" x14ac:dyDescent="0.15">
      <c r="A123" s="147">
        <v>43</v>
      </c>
      <c r="B123" s="150" t="s">
        <v>160</v>
      </c>
      <c r="C123" s="155">
        <v>0.52</v>
      </c>
      <c r="D123" s="2" t="s">
        <v>161</v>
      </c>
      <c r="E123" s="65"/>
    </row>
    <row r="124" spans="1:5" s="24" customFormat="1" ht="23.25" customHeight="1" x14ac:dyDescent="0.15">
      <c r="A124" s="147"/>
      <c r="B124" s="150"/>
      <c r="C124" s="156"/>
      <c r="D124" s="31" t="s">
        <v>291</v>
      </c>
      <c r="E124" s="66"/>
    </row>
    <row r="125" spans="1:5" s="24" customFormat="1" ht="37.5" customHeight="1" x14ac:dyDescent="0.15">
      <c r="A125" s="26">
        <v>44</v>
      </c>
      <c r="B125" s="30" t="s">
        <v>129</v>
      </c>
      <c r="C125" s="27">
        <v>4.8600000000000003</v>
      </c>
      <c r="D125" s="27" t="s">
        <v>162</v>
      </c>
      <c r="E125" s="64" t="s">
        <v>286</v>
      </c>
    </row>
    <row r="126" spans="1:5" s="24" customFormat="1" ht="23.25" customHeight="1" x14ac:dyDescent="0.15">
      <c r="A126" s="147">
        <v>45</v>
      </c>
      <c r="B126" s="150" t="s">
        <v>130</v>
      </c>
      <c r="C126" s="155">
        <v>5.9</v>
      </c>
      <c r="D126" s="2" t="s">
        <v>163</v>
      </c>
      <c r="E126" s="65"/>
    </row>
    <row r="127" spans="1:5" s="24" customFormat="1" ht="23.25" customHeight="1" x14ac:dyDescent="0.15">
      <c r="A127" s="147"/>
      <c r="B127" s="150"/>
      <c r="C127" s="156"/>
      <c r="D127" s="31" t="s">
        <v>107</v>
      </c>
      <c r="E127" s="66"/>
    </row>
    <row r="128" spans="1:5" s="24" customFormat="1" ht="23.25" customHeight="1" x14ac:dyDescent="0.15">
      <c r="A128" s="147">
        <v>46</v>
      </c>
      <c r="B128" s="150" t="s">
        <v>164</v>
      </c>
      <c r="C128" s="155">
        <v>1.04</v>
      </c>
      <c r="D128" s="2" t="s">
        <v>165</v>
      </c>
      <c r="E128" s="65"/>
    </row>
    <row r="129" spans="1:5" s="24" customFormat="1" ht="21" x14ac:dyDescent="0.15">
      <c r="A129" s="147"/>
      <c r="B129" s="150"/>
      <c r="C129" s="156"/>
      <c r="D129" s="31" t="s">
        <v>290</v>
      </c>
      <c r="E129" s="66"/>
    </row>
  </sheetData>
  <mergeCells count="65">
    <mergeCell ref="C116:C117"/>
    <mergeCell ref="C123:C124"/>
    <mergeCell ref="C126:C127"/>
    <mergeCell ref="C128:C129"/>
    <mergeCell ref="C106:C107"/>
    <mergeCell ref="C103:C104"/>
    <mergeCell ref="C101:C102"/>
    <mergeCell ref="C96:C97"/>
    <mergeCell ref="C91:C92"/>
    <mergeCell ref="C88:C89"/>
    <mergeCell ref="A128:A129"/>
    <mergeCell ref="B128:B129"/>
    <mergeCell ref="C78:C79"/>
    <mergeCell ref="C81:C82"/>
    <mergeCell ref="C83:C84"/>
    <mergeCell ref="C86:C87"/>
    <mergeCell ref="C113:C114"/>
    <mergeCell ref="C111:C112"/>
    <mergeCell ref="C108:C109"/>
    <mergeCell ref="A123:A124"/>
    <mergeCell ref="B123:B124"/>
    <mergeCell ref="A126:A127"/>
    <mergeCell ref="B126:B127"/>
    <mergeCell ref="A118:A119"/>
    <mergeCell ref="B118:B119"/>
    <mergeCell ref="A121:A122"/>
    <mergeCell ref="B121:B122"/>
    <mergeCell ref="A113:A114"/>
    <mergeCell ref="B113:B114"/>
    <mergeCell ref="A116:A117"/>
    <mergeCell ref="B116:B117"/>
    <mergeCell ref="A108:A109"/>
    <mergeCell ref="B108:B109"/>
    <mergeCell ref="A111:A112"/>
    <mergeCell ref="B111:B112"/>
    <mergeCell ref="A103:A104"/>
    <mergeCell ref="B103:B104"/>
    <mergeCell ref="A106:A107"/>
    <mergeCell ref="B106:B107"/>
    <mergeCell ref="A98:A99"/>
    <mergeCell ref="B98:B99"/>
    <mergeCell ref="A101:A102"/>
    <mergeCell ref="B101:B102"/>
    <mergeCell ref="A93:A94"/>
    <mergeCell ref="B93:B94"/>
    <mergeCell ref="A96:A97"/>
    <mergeCell ref="B96:B97"/>
    <mergeCell ref="A91:A92"/>
    <mergeCell ref="B91:B92"/>
    <mergeCell ref="A83:A84"/>
    <mergeCell ref="B83:B84"/>
    <mergeCell ref="A86:A87"/>
    <mergeCell ref="B86:B87"/>
    <mergeCell ref="A81:A82"/>
    <mergeCell ref="B81:B82"/>
    <mergeCell ref="A23:A25"/>
    <mergeCell ref="B23:B25"/>
    <mergeCell ref="A88:A89"/>
    <mergeCell ref="B88:B89"/>
    <mergeCell ref="C23:C25"/>
    <mergeCell ref="A18:A20"/>
    <mergeCell ref="B18:B20"/>
    <mergeCell ref="C18:C20"/>
    <mergeCell ref="A78:A79"/>
    <mergeCell ref="B78:B79"/>
  </mergeCells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E446-0BC5-4BC1-AA12-94CAFCAA5324}">
  <sheetPr>
    <tabColor rgb="FFFFFF00"/>
  </sheetPr>
  <dimension ref="A1:AT26"/>
  <sheetViews>
    <sheetView showGridLines="0" workbookViewId="0">
      <selection activeCell="C17" sqref="C17"/>
    </sheetView>
  </sheetViews>
  <sheetFormatPr defaultRowHeight="10.5" x14ac:dyDescent="0.15"/>
  <cols>
    <col min="1" max="1" width="13.75" style="138" customWidth="1"/>
    <col min="2" max="5" width="13.5" style="138" bestFit="1" customWidth="1"/>
    <col min="6" max="6" width="10.125" style="138" bestFit="1" customWidth="1"/>
    <col min="7" max="7" width="11.25" style="138" bestFit="1" customWidth="1"/>
    <col min="8" max="8" width="5.5" style="138" bestFit="1" customWidth="1"/>
    <col min="9" max="9" width="10.125" style="138" bestFit="1" customWidth="1"/>
    <col min="10" max="10" width="11.5" style="138" bestFit="1" customWidth="1"/>
    <col min="11" max="11" width="6.5" style="138" bestFit="1" customWidth="1"/>
    <col min="12" max="12" width="10" style="138" bestFit="1" customWidth="1"/>
    <col min="13" max="13" width="10.625" style="138" bestFit="1" customWidth="1"/>
    <col min="14" max="14" width="8" style="138" bestFit="1" customWidth="1"/>
    <col min="15" max="15" width="12" style="138" bestFit="1" customWidth="1"/>
    <col min="16" max="16" width="15.5" style="138" bestFit="1" customWidth="1"/>
    <col min="17" max="17" width="9" style="138" bestFit="1" customWidth="1"/>
    <col min="18" max="18" width="13.125" style="138" bestFit="1" customWidth="1"/>
    <col min="19" max="19" width="16.5" style="138" bestFit="1" customWidth="1"/>
    <col min="20" max="20" width="10.75" style="138" bestFit="1" customWidth="1"/>
    <col min="21" max="21" width="14.875" style="138" bestFit="1" customWidth="1"/>
    <col min="22" max="22" width="18.375" style="138" bestFit="1" customWidth="1"/>
    <col min="23" max="23" width="10.75" style="138" bestFit="1" customWidth="1"/>
    <col min="24" max="24" width="14.875" style="138" bestFit="1" customWidth="1"/>
    <col min="25" max="25" width="18.375" style="138" bestFit="1" customWidth="1"/>
    <col min="26" max="26" width="12" style="138" bestFit="1" customWidth="1"/>
    <col min="27" max="27" width="16.125" style="138" bestFit="1" customWidth="1"/>
    <col min="28" max="28" width="19.625" style="138" bestFit="1" customWidth="1"/>
    <col min="29" max="29" width="10.75" style="138" bestFit="1" customWidth="1"/>
    <col min="30" max="30" width="14.875" style="138" bestFit="1" customWidth="1"/>
    <col min="31" max="31" width="18.375" style="138" bestFit="1" customWidth="1"/>
    <col min="32" max="32" width="6.5" style="138" bestFit="1" customWidth="1"/>
    <col min="33" max="33" width="10.5" style="138" bestFit="1" customWidth="1"/>
    <col min="34" max="34" width="14" style="138" bestFit="1" customWidth="1"/>
    <col min="35" max="35" width="5.125" style="138" bestFit="1" customWidth="1"/>
    <col min="36" max="36" width="8.375" style="138" bestFit="1" customWidth="1"/>
    <col min="37" max="37" width="11.75" style="138" bestFit="1" customWidth="1"/>
    <col min="38" max="38" width="7.125" style="138" bestFit="1" customWidth="1"/>
    <col min="39" max="39" width="11.125" style="138" bestFit="1" customWidth="1"/>
    <col min="40" max="40" width="14.625" style="138" bestFit="1" customWidth="1"/>
    <col min="41" max="41" width="6.375" style="138" bestFit="1" customWidth="1"/>
    <col min="42" max="42" width="10.375" style="138" bestFit="1" customWidth="1"/>
    <col min="43" max="43" width="13.875" style="138" bestFit="1" customWidth="1"/>
    <col min="44" max="44" width="7.875" style="138" bestFit="1" customWidth="1"/>
    <col min="45" max="45" width="11.875" style="138" bestFit="1" customWidth="1"/>
    <col min="46" max="46" width="15.375" style="138" bestFit="1" customWidth="1"/>
    <col min="47" max="16384" width="9" style="138"/>
  </cols>
  <sheetData>
    <row r="1" spans="1:46" x14ac:dyDescent="0.15">
      <c r="A1" s="137" t="s">
        <v>17</v>
      </c>
      <c r="B1" s="143">
        <v>45047</v>
      </c>
    </row>
    <row r="2" spans="1:46" x14ac:dyDescent="0.15">
      <c r="A2" s="137" t="s">
        <v>19</v>
      </c>
      <c r="B2" s="143">
        <v>45051</v>
      </c>
    </row>
    <row r="3" spans="1:46" x14ac:dyDescent="0.15">
      <c r="A3" s="137" t="s">
        <v>20</v>
      </c>
      <c r="B3" s="143" t="s">
        <v>527</v>
      </c>
    </row>
    <row r="4" spans="1:46" x14ac:dyDescent="0.15">
      <c r="A4" s="137"/>
    </row>
    <row r="5" spans="1:46" ht="15" customHeight="1" x14ac:dyDescent="0.15">
      <c r="A5" s="139">
        <v>1</v>
      </c>
      <c r="B5" s="139">
        <v>2</v>
      </c>
      <c r="C5" s="139">
        <v>3</v>
      </c>
      <c r="D5" s="139">
        <v>4</v>
      </c>
      <c r="E5" s="139">
        <v>5</v>
      </c>
      <c r="F5" s="139">
        <v>6</v>
      </c>
      <c r="G5" s="139">
        <v>7</v>
      </c>
      <c r="H5" s="139">
        <v>8</v>
      </c>
      <c r="I5" s="139">
        <v>9</v>
      </c>
      <c r="J5" s="139">
        <v>10</v>
      </c>
      <c r="K5" s="139">
        <v>11</v>
      </c>
      <c r="L5" s="139">
        <v>12</v>
      </c>
      <c r="M5" s="139">
        <v>13</v>
      </c>
      <c r="N5" s="139">
        <v>14</v>
      </c>
      <c r="O5" s="139">
        <v>15</v>
      </c>
      <c r="P5" s="139">
        <v>16</v>
      </c>
      <c r="Q5" s="139">
        <v>17</v>
      </c>
      <c r="R5" s="139">
        <v>18</v>
      </c>
      <c r="S5" s="139">
        <v>19</v>
      </c>
      <c r="T5" s="139">
        <v>20</v>
      </c>
      <c r="U5" s="139">
        <v>21</v>
      </c>
      <c r="V5" s="139">
        <v>22</v>
      </c>
      <c r="W5" s="139">
        <v>23</v>
      </c>
      <c r="X5" s="139">
        <v>24</v>
      </c>
      <c r="Y5" s="139">
        <v>25</v>
      </c>
      <c r="Z5" s="139">
        <v>26</v>
      </c>
      <c r="AA5" s="139">
        <v>27</v>
      </c>
      <c r="AB5" s="139">
        <v>28</v>
      </c>
      <c r="AC5" s="139">
        <v>29</v>
      </c>
      <c r="AD5" s="139">
        <v>30</v>
      </c>
      <c r="AE5" s="139">
        <v>31</v>
      </c>
      <c r="AF5" s="139">
        <v>32</v>
      </c>
      <c r="AG5" s="139">
        <v>33</v>
      </c>
      <c r="AH5" s="139">
        <v>34</v>
      </c>
      <c r="AI5" s="139">
        <v>35</v>
      </c>
      <c r="AJ5" s="139">
        <v>36</v>
      </c>
      <c r="AK5" s="139">
        <v>37</v>
      </c>
      <c r="AL5" s="139">
        <v>38</v>
      </c>
      <c r="AM5" s="139">
        <v>39</v>
      </c>
      <c r="AN5" s="139">
        <v>40</v>
      </c>
      <c r="AO5" s="139">
        <v>41</v>
      </c>
      <c r="AP5" s="139">
        <v>42</v>
      </c>
      <c r="AQ5" s="139">
        <v>43</v>
      </c>
      <c r="AR5" s="139">
        <v>44</v>
      </c>
      <c r="AS5" s="139">
        <v>45</v>
      </c>
      <c r="AT5" s="139">
        <v>46</v>
      </c>
    </row>
    <row r="6" spans="1:46" ht="15" customHeight="1" x14ac:dyDescent="0.15">
      <c r="A6" s="140" t="s">
        <v>24</v>
      </c>
      <c r="B6" s="140" t="s">
        <v>166</v>
      </c>
      <c r="C6" s="140" t="s">
        <v>70</v>
      </c>
      <c r="D6" s="140" t="s">
        <v>72</v>
      </c>
      <c r="E6" s="140" t="s">
        <v>74</v>
      </c>
      <c r="F6" s="140" t="s">
        <v>76</v>
      </c>
      <c r="G6" s="140" t="s">
        <v>78</v>
      </c>
      <c r="H6" s="140" t="s">
        <v>81</v>
      </c>
      <c r="I6" s="140" t="s">
        <v>84</v>
      </c>
      <c r="J6" s="140" t="s">
        <v>87</v>
      </c>
      <c r="K6" s="140" t="s">
        <v>90</v>
      </c>
      <c r="L6" s="140" t="s">
        <v>93</v>
      </c>
      <c r="M6" s="140" t="s">
        <v>96</v>
      </c>
      <c r="N6" s="140" t="s">
        <v>99</v>
      </c>
      <c r="O6" s="140" t="s">
        <v>101</v>
      </c>
      <c r="P6" s="140" t="s">
        <v>103</v>
      </c>
      <c r="Q6" s="140" t="s">
        <v>131</v>
      </c>
      <c r="R6" s="140" t="s">
        <v>132</v>
      </c>
      <c r="S6" s="140" t="s">
        <v>133</v>
      </c>
      <c r="T6" s="139" t="s">
        <v>109</v>
      </c>
      <c r="U6" s="139" t="s">
        <v>110</v>
      </c>
      <c r="V6" s="139" t="s">
        <v>136</v>
      </c>
      <c r="W6" s="139" t="s">
        <v>111</v>
      </c>
      <c r="X6" s="139" t="s">
        <v>112</v>
      </c>
      <c r="Y6" s="139" t="s">
        <v>140</v>
      </c>
      <c r="Z6" s="139" t="s">
        <v>113</v>
      </c>
      <c r="AA6" s="139" t="s">
        <v>114</v>
      </c>
      <c r="AB6" s="139" t="s">
        <v>144</v>
      </c>
      <c r="AC6" s="139" t="s">
        <v>115</v>
      </c>
      <c r="AD6" s="139" t="s">
        <v>116</v>
      </c>
      <c r="AE6" s="139" t="s">
        <v>148</v>
      </c>
      <c r="AF6" s="140" t="s">
        <v>117</v>
      </c>
      <c r="AG6" s="140" t="s">
        <v>150</v>
      </c>
      <c r="AH6" s="140" t="s">
        <v>151</v>
      </c>
      <c r="AI6" s="140" t="s">
        <v>121</v>
      </c>
      <c r="AJ6" s="140" t="s">
        <v>152</v>
      </c>
      <c r="AK6" s="140" t="s">
        <v>153</v>
      </c>
      <c r="AL6" s="139" t="s">
        <v>125</v>
      </c>
      <c r="AM6" s="139" t="s">
        <v>126</v>
      </c>
      <c r="AN6" s="139" t="s">
        <v>156</v>
      </c>
      <c r="AO6" s="139" t="s">
        <v>127</v>
      </c>
      <c r="AP6" s="139" t="s">
        <v>128</v>
      </c>
      <c r="AQ6" s="139" t="s">
        <v>160</v>
      </c>
      <c r="AR6" s="139" t="s">
        <v>129</v>
      </c>
      <c r="AS6" s="139" t="s">
        <v>130</v>
      </c>
      <c r="AT6" s="139" t="s">
        <v>164</v>
      </c>
    </row>
    <row r="7" spans="1:46" x14ac:dyDescent="0.15">
      <c r="A7" s="138" t="s">
        <v>175</v>
      </c>
      <c r="B7" s="138" t="s">
        <v>174</v>
      </c>
      <c r="F7" s="138" t="s">
        <v>393</v>
      </c>
      <c r="G7" s="138" t="s">
        <v>413</v>
      </c>
      <c r="H7" s="138" t="s">
        <v>174</v>
      </c>
      <c r="I7" s="138" t="s">
        <v>174</v>
      </c>
      <c r="J7" s="138" t="s">
        <v>301</v>
      </c>
      <c r="K7" s="138" t="s">
        <v>300</v>
      </c>
      <c r="L7" s="138" t="s">
        <v>299</v>
      </c>
      <c r="M7" s="138" t="s">
        <v>174</v>
      </c>
      <c r="N7" s="141">
        <v>28310</v>
      </c>
      <c r="O7" s="141">
        <v>31810</v>
      </c>
      <c r="P7" s="141">
        <f>O7-N7</f>
        <v>3500</v>
      </c>
      <c r="Q7" s="138">
        <v>-269.62</v>
      </c>
      <c r="R7" s="138">
        <v>-302.95</v>
      </c>
      <c r="S7" s="138">
        <f>R7-Q7</f>
        <v>-33.329999999999984</v>
      </c>
      <c r="Z7" s="142">
        <v>505.53571428571399</v>
      </c>
      <c r="AA7" s="142">
        <v>568.03571428571411</v>
      </c>
      <c r="AB7" s="142">
        <f>AA7-Z7</f>
        <v>62.500000000000114</v>
      </c>
      <c r="AL7" s="142">
        <v>-67.404761904761898</v>
      </c>
      <c r="AM7" s="142">
        <f>Note!F10*-1</f>
        <v>-75.738095238095227</v>
      </c>
      <c r="AN7" s="142">
        <f>AM7-AL7</f>
        <v>-8.3333333333333286</v>
      </c>
      <c r="AO7" s="142">
        <v>-11.234126984126982</v>
      </c>
      <c r="AP7" s="142">
        <v>-12.6230158730159</v>
      </c>
      <c r="AQ7" s="142">
        <f>AP7-AO7</f>
        <v>-1.3888888888889177</v>
      </c>
    </row>
    <row r="8" spans="1:46" x14ac:dyDescent="0.15">
      <c r="A8" s="138" t="s">
        <v>176</v>
      </c>
      <c r="B8" s="138" t="s">
        <v>174</v>
      </c>
      <c r="F8" s="138" t="s">
        <v>423</v>
      </c>
      <c r="G8" s="138" t="s">
        <v>430</v>
      </c>
      <c r="H8" s="138" t="s">
        <v>174</v>
      </c>
      <c r="I8" s="138" t="s">
        <v>174</v>
      </c>
      <c r="J8" s="138" t="s">
        <v>301</v>
      </c>
      <c r="K8" s="138" t="s">
        <v>300</v>
      </c>
      <c r="L8" s="138" t="s">
        <v>299</v>
      </c>
      <c r="M8" s="138" t="s">
        <v>174</v>
      </c>
      <c r="N8" s="141">
        <v>330</v>
      </c>
      <c r="O8" s="141">
        <v>383</v>
      </c>
      <c r="P8" s="141">
        <f>O8-N8</f>
        <v>53</v>
      </c>
      <c r="AC8" s="142">
        <v>103.125</v>
      </c>
      <c r="AD8" s="142">
        <v>119.6875</v>
      </c>
      <c r="AE8" s="142">
        <f>AD8-AC8</f>
        <v>16.5625</v>
      </c>
      <c r="AF8" s="138">
        <v>-288.75</v>
      </c>
      <c r="AG8" s="142">
        <v>-335.125</v>
      </c>
      <c r="AH8" s="142">
        <f>AG8-AF8</f>
        <v>-46.375</v>
      </c>
      <c r="AI8" s="142">
        <v>247.5</v>
      </c>
      <c r="AJ8" s="141">
        <v>287.25</v>
      </c>
      <c r="AK8" s="141">
        <v>39.75</v>
      </c>
    </row>
    <row r="9" spans="1:46" x14ac:dyDescent="0.15">
      <c r="A9" s="138" t="s">
        <v>177</v>
      </c>
      <c r="B9" s="138" t="s">
        <v>174</v>
      </c>
      <c r="F9" s="138" t="s">
        <v>431</v>
      </c>
      <c r="G9" s="138" t="s">
        <v>438</v>
      </c>
      <c r="H9" s="138" t="s">
        <v>174</v>
      </c>
      <c r="I9" s="138" t="s">
        <v>174</v>
      </c>
      <c r="J9" s="138" t="s">
        <v>301</v>
      </c>
      <c r="K9" s="138" t="s">
        <v>300</v>
      </c>
      <c r="L9" s="138" t="s">
        <v>299</v>
      </c>
      <c r="M9" s="138" t="s">
        <v>174</v>
      </c>
      <c r="N9" s="141">
        <v>55</v>
      </c>
      <c r="O9" s="141">
        <v>75</v>
      </c>
      <c r="P9" s="141">
        <f>O9-N9</f>
        <v>20</v>
      </c>
      <c r="W9" s="138">
        <v>330</v>
      </c>
      <c r="X9" s="138">
        <v>450</v>
      </c>
      <c r="Y9" s="138">
        <f>X9-W9</f>
        <v>120</v>
      </c>
      <c r="AI9" s="141">
        <v>385</v>
      </c>
      <c r="AJ9" s="141">
        <v>525</v>
      </c>
      <c r="AK9" s="141">
        <v>140</v>
      </c>
    </row>
    <row r="12" spans="1:46" x14ac:dyDescent="0.15">
      <c r="A12" s="138" t="s">
        <v>528</v>
      </c>
    </row>
    <row r="13" spans="1:46" x14ac:dyDescent="0.15">
      <c r="A13" s="137" t="s">
        <v>20</v>
      </c>
      <c r="B13" s="143" t="s">
        <v>527</v>
      </c>
    </row>
    <row r="14" spans="1:46" x14ac:dyDescent="0.15">
      <c r="A14" s="137" t="s">
        <v>533</v>
      </c>
      <c r="B14" s="143" t="s">
        <v>532</v>
      </c>
    </row>
    <row r="16" spans="1:46" ht="15" customHeight="1" x14ac:dyDescent="0.15">
      <c r="A16" s="144" t="s">
        <v>27</v>
      </c>
      <c r="B16" s="144" t="s">
        <v>529</v>
      </c>
      <c r="C16" s="144" t="s">
        <v>530</v>
      </c>
    </row>
    <row r="17" spans="1:3" x14ac:dyDescent="0.15">
      <c r="A17" s="138" t="s">
        <v>413</v>
      </c>
      <c r="B17" s="138" t="s">
        <v>531</v>
      </c>
      <c r="C17" s="142">
        <v>3500</v>
      </c>
    </row>
    <row r="18" spans="1:3" x14ac:dyDescent="0.15">
      <c r="A18" s="138" t="s">
        <v>413</v>
      </c>
      <c r="B18" s="138" t="s">
        <v>230</v>
      </c>
      <c r="C18" s="142">
        <v>-33.329999999999984</v>
      </c>
    </row>
    <row r="19" spans="1:3" x14ac:dyDescent="0.15">
      <c r="A19" s="138" t="s">
        <v>438</v>
      </c>
      <c r="B19" s="138" t="s">
        <v>111</v>
      </c>
      <c r="C19" s="142">
        <v>120</v>
      </c>
    </row>
    <row r="20" spans="1:3" x14ac:dyDescent="0.15">
      <c r="A20" s="138" t="s">
        <v>413</v>
      </c>
      <c r="B20" s="138" t="s">
        <v>113</v>
      </c>
      <c r="C20" s="142">
        <v>62.500000000000114</v>
      </c>
    </row>
    <row r="21" spans="1:3" x14ac:dyDescent="0.15">
      <c r="A21" s="138" t="s">
        <v>430</v>
      </c>
      <c r="B21" s="138" t="s">
        <v>115</v>
      </c>
      <c r="C21" s="142">
        <v>16.5625</v>
      </c>
    </row>
    <row r="22" spans="1:3" x14ac:dyDescent="0.15">
      <c r="A22" s="138" t="s">
        <v>430</v>
      </c>
      <c r="B22" s="138" t="s">
        <v>117</v>
      </c>
      <c r="C22" s="142">
        <v>-46.375</v>
      </c>
    </row>
    <row r="23" spans="1:3" x14ac:dyDescent="0.15">
      <c r="A23" s="138" t="s">
        <v>430</v>
      </c>
      <c r="B23" s="138" t="s">
        <v>211</v>
      </c>
      <c r="C23" s="142">
        <v>39.75</v>
      </c>
    </row>
    <row r="24" spans="1:3" x14ac:dyDescent="0.15">
      <c r="A24" s="138" t="s">
        <v>438</v>
      </c>
      <c r="B24" s="138" t="s">
        <v>211</v>
      </c>
      <c r="C24" s="142">
        <v>140</v>
      </c>
    </row>
    <row r="25" spans="1:3" x14ac:dyDescent="0.15">
      <c r="A25" s="138" t="s">
        <v>413</v>
      </c>
      <c r="B25" s="138" t="s">
        <v>125</v>
      </c>
      <c r="C25" s="142">
        <v>-8.3333333333333286</v>
      </c>
    </row>
    <row r="26" spans="1:3" x14ac:dyDescent="0.15">
      <c r="A26" s="138" t="s">
        <v>413</v>
      </c>
      <c r="B26" s="138" t="s">
        <v>127</v>
      </c>
      <c r="C26" s="142">
        <v>-1.3888888888889177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F5B7-4855-4444-8F58-8A89F3A7367B}">
  <sheetPr>
    <outlinePr summaryBelow="0"/>
  </sheetPr>
  <dimension ref="A1:AA56"/>
  <sheetViews>
    <sheetView workbookViewId="0">
      <selection activeCell="E17" sqref="E17"/>
    </sheetView>
  </sheetViews>
  <sheetFormatPr defaultRowHeight="12" outlineLevelRow="1" x14ac:dyDescent="0.2"/>
  <cols>
    <col min="1" max="1" width="2.625" style="71" bestFit="1" customWidth="1"/>
    <col min="2" max="2" width="11.625" style="71" bestFit="1" customWidth="1"/>
    <col min="3" max="3" width="15.25" style="71" bestFit="1" customWidth="1"/>
    <col min="4" max="4" width="13.375" style="71" bestFit="1" customWidth="1"/>
    <col min="5" max="5" width="26" style="71" bestFit="1" customWidth="1"/>
    <col min="6" max="6" width="15.25" style="71" bestFit="1" customWidth="1"/>
    <col min="7" max="7" width="6.125" style="71" bestFit="1" customWidth="1"/>
    <col min="8" max="8" width="5.75" style="71" bestFit="1" customWidth="1"/>
    <col min="9" max="9" width="6.875" style="71" bestFit="1" customWidth="1"/>
    <col min="10" max="10" width="5.125" style="71" bestFit="1" customWidth="1"/>
    <col min="11" max="12" width="1.875" style="71" customWidth="1"/>
    <col min="13" max="13" width="7.875" style="71" bestFit="1" customWidth="1"/>
    <col min="14" max="14" width="4.5" style="71" bestFit="1" customWidth="1"/>
    <col min="15" max="15" width="6" style="71" bestFit="1" customWidth="1"/>
    <col min="16" max="20" width="2.75" style="71" customWidth="1"/>
    <col min="21" max="21" width="9" style="71"/>
    <col min="22" max="23" width="3.125" style="71" customWidth="1"/>
    <col min="24" max="24" width="3.875" style="71" bestFit="1" customWidth="1"/>
    <col min="25" max="25" width="9.125" style="71" bestFit="1" customWidth="1"/>
    <col min="26" max="27" width="3.875" style="71" customWidth="1"/>
    <col min="28" max="16384" width="9" style="71"/>
  </cols>
  <sheetData>
    <row r="1" spans="1:27" s="38" customFormat="1" x14ac:dyDescent="0.2">
      <c r="A1" s="34" t="s">
        <v>180</v>
      </c>
      <c r="B1" s="35" t="s">
        <v>181</v>
      </c>
      <c r="C1" s="36"/>
      <c r="D1" s="35"/>
      <c r="E1" s="34"/>
      <c r="F1" s="34"/>
      <c r="G1" s="37"/>
      <c r="H1" s="34"/>
      <c r="I1" s="35"/>
      <c r="J1" s="35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7" s="43" customFormat="1" outlineLevel="1" x14ac:dyDescent="0.2">
      <c r="A2" s="39" t="s">
        <v>182</v>
      </c>
      <c r="B2" s="40" t="s">
        <v>183</v>
      </c>
      <c r="C2" s="40" t="s">
        <v>184</v>
      </c>
      <c r="D2" s="40" t="s">
        <v>185</v>
      </c>
      <c r="E2" s="39" t="s">
        <v>186</v>
      </c>
      <c r="F2" s="39" t="s">
        <v>200</v>
      </c>
      <c r="G2" s="41" t="s">
        <v>222</v>
      </c>
      <c r="H2" s="39" t="s">
        <v>199</v>
      </c>
      <c r="I2" s="40" t="s">
        <v>188</v>
      </c>
      <c r="J2" s="40" t="s">
        <v>187</v>
      </c>
      <c r="K2" s="39" t="s">
        <v>198</v>
      </c>
      <c r="L2" s="42" t="s">
        <v>194</v>
      </c>
      <c r="M2" s="39" t="s">
        <v>191</v>
      </c>
      <c r="N2" s="39" t="s">
        <v>190</v>
      </c>
      <c r="O2" s="42" t="s">
        <v>192</v>
      </c>
      <c r="P2" s="39" t="s">
        <v>195</v>
      </c>
      <c r="Q2" s="39" t="s">
        <v>196</v>
      </c>
      <c r="R2" s="39" t="s">
        <v>197</v>
      </c>
      <c r="S2" s="39" t="s">
        <v>223</v>
      </c>
      <c r="T2" s="39" t="s">
        <v>224</v>
      </c>
      <c r="U2" s="39" t="s">
        <v>189</v>
      </c>
      <c r="V2" s="39" t="s">
        <v>193</v>
      </c>
      <c r="W2" s="39" t="s">
        <v>225</v>
      </c>
      <c r="X2" s="39" t="s">
        <v>226</v>
      </c>
      <c r="Y2" s="43" t="s">
        <v>227</v>
      </c>
      <c r="Z2" s="43" t="s">
        <v>172</v>
      </c>
      <c r="AA2" s="43" t="s">
        <v>228</v>
      </c>
    </row>
    <row r="3" spans="1:27" s="48" customFormat="1" outlineLevel="1" x14ac:dyDescent="0.2">
      <c r="A3" s="44" t="s">
        <v>201</v>
      </c>
      <c r="B3" s="45" t="s">
        <v>202</v>
      </c>
      <c r="C3" s="45" t="s">
        <v>203</v>
      </c>
      <c r="D3" s="45" t="s">
        <v>203</v>
      </c>
      <c r="E3" s="44" t="s">
        <v>203</v>
      </c>
      <c r="F3" s="44" t="s">
        <v>229</v>
      </c>
      <c r="G3" s="46" t="s">
        <v>203</v>
      </c>
      <c r="H3" s="44" t="s">
        <v>202</v>
      </c>
      <c r="I3" s="45" t="s">
        <v>202</v>
      </c>
      <c r="J3" s="45" t="s">
        <v>203</v>
      </c>
      <c r="K3" s="44" t="s">
        <v>202</v>
      </c>
      <c r="L3" s="47" t="s">
        <v>202</v>
      </c>
      <c r="M3" s="44" t="s">
        <v>202</v>
      </c>
      <c r="N3" s="44" t="s">
        <v>202</v>
      </c>
      <c r="O3" s="47" t="s">
        <v>202</v>
      </c>
      <c r="P3" s="44" t="s">
        <v>202</v>
      </c>
      <c r="Q3" s="44" t="s">
        <v>203</v>
      </c>
      <c r="R3" s="44" t="s">
        <v>202</v>
      </c>
      <c r="S3" s="44" t="s">
        <v>202</v>
      </c>
      <c r="T3" s="44" t="s">
        <v>203</v>
      </c>
      <c r="U3" s="44" t="s">
        <v>202</v>
      </c>
      <c r="V3" s="44" t="s">
        <v>202</v>
      </c>
      <c r="W3" s="44" t="s">
        <v>202</v>
      </c>
      <c r="X3" s="44" t="s">
        <v>202</v>
      </c>
      <c r="Y3" s="48" t="s">
        <v>202</v>
      </c>
      <c r="Z3" s="48" t="s">
        <v>202</v>
      </c>
      <c r="AA3" s="48" t="s">
        <v>203</v>
      </c>
    </row>
    <row r="4" spans="1:27" s="51" customFormat="1" outlineLevel="1" x14ac:dyDescent="0.2">
      <c r="A4" s="49" t="s">
        <v>205</v>
      </c>
      <c r="B4" s="67" t="s">
        <v>210</v>
      </c>
      <c r="C4" s="50" t="s">
        <v>266</v>
      </c>
      <c r="D4" s="50" t="s">
        <v>211</v>
      </c>
      <c r="E4" s="50" t="s">
        <v>269</v>
      </c>
      <c r="F4" s="51" t="s">
        <v>182</v>
      </c>
      <c r="G4" s="50" t="s">
        <v>211</v>
      </c>
      <c r="H4" s="51" t="s">
        <v>173</v>
      </c>
      <c r="I4" s="68" t="s">
        <v>209</v>
      </c>
      <c r="J4" s="51" t="s">
        <v>270</v>
      </c>
      <c r="M4" s="51" t="s">
        <v>173</v>
      </c>
      <c r="N4" s="51" t="s">
        <v>173</v>
      </c>
      <c r="O4" s="51" t="s">
        <v>173</v>
      </c>
      <c r="Q4" s="51" t="s">
        <v>274</v>
      </c>
      <c r="U4" s="53" t="s">
        <v>271</v>
      </c>
      <c r="X4" s="50" t="s">
        <v>173</v>
      </c>
      <c r="Y4" s="50" t="s">
        <v>173</v>
      </c>
    </row>
    <row r="5" spans="1:27" s="51" customFormat="1" outlineLevel="1" x14ac:dyDescent="0.2">
      <c r="A5" s="49" t="s">
        <v>205</v>
      </c>
      <c r="B5" s="67" t="s">
        <v>212</v>
      </c>
      <c r="C5" s="50" t="s">
        <v>262</v>
      </c>
      <c r="D5" s="50" t="s">
        <v>109</v>
      </c>
      <c r="E5" s="50" t="s">
        <v>272</v>
      </c>
      <c r="F5" s="51" t="s">
        <v>182</v>
      </c>
      <c r="G5" s="50" t="s">
        <v>109</v>
      </c>
      <c r="H5" s="51" t="s">
        <v>173</v>
      </c>
      <c r="I5" s="68" t="s">
        <v>209</v>
      </c>
      <c r="J5" s="51" t="s">
        <v>270</v>
      </c>
      <c r="M5" s="51" t="s">
        <v>173</v>
      </c>
      <c r="N5" s="51" t="s">
        <v>173</v>
      </c>
      <c r="O5" s="51" t="s">
        <v>173</v>
      </c>
      <c r="Q5" s="51" t="s">
        <v>274</v>
      </c>
      <c r="U5" s="53" t="s">
        <v>273</v>
      </c>
      <c r="X5" s="50" t="s">
        <v>173</v>
      </c>
      <c r="Y5" s="50" t="s">
        <v>173</v>
      </c>
    </row>
    <row r="6" spans="1:27" s="51" customFormat="1" outlineLevel="1" x14ac:dyDescent="0.2">
      <c r="A6" s="49" t="s">
        <v>205</v>
      </c>
      <c r="B6" s="70" t="s">
        <v>214</v>
      </c>
      <c r="C6" s="70" t="s">
        <v>265</v>
      </c>
      <c r="D6" s="70" t="s">
        <v>113</v>
      </c>
      <c r="E6" s="70" t="s">
        <v>275</v>
      </c>
      <c r="F6" s="51" t="s">
        <v>182</v>
      </c>
      <c r="G6" s="70" t="s">
        <v>113</v>
      </c>
      <c r="H6" s="51" t="s">
        <v>173</v>
      </c>
      <c r="I6" s="68" t="s">
        <v>209</v>
      </c>
      <c r="J6" s="51" t="s">
        <v>270</v>
      </c>
      <c r="M6" s="51" t="s">
        <v>173</v>
      </c>
      <c r="N6" s="51" t="s">
        <v>173</v>
      </c>
      <c r="O6" s="51" t="s">
        <v>173</v>
      </c>
      <c r="Q6" s="51" t="s">
        <v>274</v>
      </c>
      <c r="U6" s="53">
        <v>293</v>
      </c>
      <c r="X6" s="50" t="s">
        <v>173</v>
      </c>
      <c r="Y6" s="50" t="s">
        <v>173</v>
      </c>
    </row>
    <row r="7" spans="1:27" s="51" customFormat="1" ht="13.5" customHeight="1" outlineLevel="1" x14ac:dyDescent="0.2">
      <c r="A7" s="49" t="s">
        <v>205</v>
      </c>
      <c r="B7" s="70" t="s">
        <v>213</v>
      </c>
      <c r="C7" s="70" t="s">
        <v>263</v>
      </c>
      <c r="D7" s="70" t="s">
        <v>111</v>
      </c>
      <c r="E7" s="70" t="s">
        <v>276</v>
      </c>
      <c r="F7" s="51" t="s">
        <v>182</v>
      </c>
      <c r="G7" s="70" t="s">
        <v>111</v>
      </c>
      <c r="H7" s="51" t="s">
        <v>173</v>
      </c>
      <c r="I7" s="68" t="s">
        <v>209</v>
      </c>
      <c r="J7" s="51" t="s">
        <v>270</v>
      </c>
      <c r="M7" s="51" t="s">
        <v>173</v>
      </c>
      <c r="N7" s="51" t="s">
        <v>173</v>
      </c>
      <c r="O7" s="51" t="s">
        <v>173</v>
      </c>
      <c r="Q7" s="51" t="s">
        <v>274</v>
      </c>
      <c r="U7" s="53">
        <v>292</v>
      </c>
      <c r="X7" s="50" t="s">
        <v>173</v>
      </c>
      <c r="Y7" s="50" t="s">
        <v>173</v>
      </c>
    </row>
    <row r="8" spans="1:27" s="51" customFormat="1" outlineLevel="1" x14ac:dyDescent="0.2">
      <c r="A8" s="49" t="s">
        <v>205</v>
      </c>
      <c r="B8" s="70" t="s">
        <v>215</v>
      </c>
      <c r="C8" s="70" t="s">
        <v>264</v>
      </c>
      <c r="D8" s="70" t="s">
        <v>115</v>
      </c>
      <c r="E8" s="70" t="s">
        <v>277</v>
      </c>
      <c r="F8" s="51" t="s">
        <v>182</v>
      </c>
      <c r="G8" s="70" t="s">
        <v>115</v>
      </c>
      <c r="H8" s="51" t="s">
        <v>173</v>
      </c>
      <c r="I8" s="68" t="s">
        <v>209</v>
      </c>
      <c r="J8" s="51" t="s">
        <v>270</v>
      </c>
      <c r="M8" s="51" t="s">
        <v>173</v>
      </c>
      <c r="N8" s="51" t="s">
        <v>173</v>
      </c>
      <c r="O8" s="51" t="s">
        <v>173</v>
      </c>
      <c r="Q8" s="51" t="s">
        <v>274</v>
      </c>
      <c r="U8" s="53">
        <v>291</v>
      </c>
      <c r="X8" s="50" t="s">
        <v>173</v>
      </c>
      <c r="Y8" s="50" t="s">
        <v>173</v>
      </c>
    </row>
    <row r="9" spans="1:27" s="51" customFormat="1" outlineLevel="1" x14ac:dyDescent="0.2">
      <c r="A9" s="49" t="s">
        <v>205</v>
      </c>
      <c r="B9" s="70" t="s">
        <v>267</v>
      </c>
      <c r="C9" s="70" t="s">
        <v>268</v>
      </c>
      <c r="D9" s="70" t="s">
        <v>125</v>
      </c>
      <c r="E9" s="70" t="s">
        <v>278</v>
      </c>
      <c r="F9" s="51" t="s">
        <v>182</v>
      </c>
      <c r="G9" s="70" t="s">
        <v>125</v>
      </c>
      <c r="H9" s="51" t="s">
        <v>173</v>
      </c>
      <c r="I9" s="68" t="s">
        <v>209</v>
      </c>
      <c r="J9" s="51" t="s">
        <v>270</v>
      </c>
      <c r="M9" s="68" t="s">
        <v>209</v>
      </c>
      <c r="N9" s="51" t="s">
        <v>173</v>
      </c>
      <c r="O9" s="51" t="s">
        <v>173</v>
      </c>
      <c r="Q9" s="51" t="s">
        <v>274</v>
      </c>
      <c r="U9" s="53">
        <v>190</v>
      </c>
      <c r="X9" s="50" t="s">
        <v>173</v>
      </c>
      <c r="Y9" s="50" t="s">
        <v>173</v>
      </c>
    </row>
    <row r="10" spans="1:27" s="51" customFormat="1" outlineLevel="1" x14ac:dyDescent="0.2">
      <c r="A10" s="49" t="s">
        <v>205</v>
      </c>
      <c r="B10" s="69" t="s">
        <v>279</v>
      </c>
      <c r="C10" s="50" t="s">
        <v>285</v>
      </c>
      <c r="D10" s="50" t="s">
        <v>127</v>
      </c>
      <c r="E10" s="50" t="s">
        <v>127</v>
      </c>
      <c r="F10" s="51" t="s">
        <v>182</v>
      </c>
      <c r="G10" s="50" t="s">
        <v>127</v>
      </c>
      <c r="H10" s="51" t="s">
        <v>173</v>
      </c>
      <c r="I10" s="68" t="s">
        <v>209</v>
      </c>
      <c r="J10" s="51" t="s">
        <v>270</v>
      </c>
      <c r="M10" s="68" t="s">
        <v>209</v>
      </c>
      <c r="N10" s="51" t="s">
        <v>173</v>
      </c>
      <c r="O10" s="51" t="s">
        <v>173</v>
      </c>
      <c r="Q10" s="51" t="s">
        <v>274</v>
      </c>
      <c r="U10" s="53">
        <v>189</v>
      </c>
      <c r="X10" s="50" t="s">
        <v>173</v>
      </c>
      <c r="Y10" s="50" t="s">
        <v>173</v>
      </c>
    </row>
    <row r="11" spans="1:27" s="51" customFormat="1" outlineLevel="1" x14ac:dyDescent="0.2">
      <c r="A11" s="49" t="s">
        <v>205</v>
      </c>
      <c r="B11" s="69" t="s">
        <v>280</v>
      </c>
      <c r="C11" s="50" t="s">
        <v>286</v>
      </c>
      <c r="D11" s="50" t="s">
        <v>129</v>
      </c>
      <c r="E11" s="50" t="s">
        <v>129</v>
      </c>
      <c r="F11" s="51" t="s">
        <v>182</v>
      </c>
      <c r="G11" s="50" t="s">
        <v>129</v>
      </c>
      <c r="H11" s="51" t="s">
        <v>173</v>
      </c>
      <c r="I11" s="68" t="s">
        <v>209</v>
      </c>
      <c r="J11" s="51" t="s">
        <v>270</v>
      </c>
      <c r="M11" s="68" t="s">
        <v>209</v>
      </c>
      <c r="N11" s="51" t="s">
        <v>173</v>
      </c>
      <c r="O11" s="51" t="s">
        <v>173</v>
      </c>
      <c r="Q11" s="51" t="s">
        <v>274</v>
      </c>
      <c r="U11" s="53">
        <v>188</v>
      </c>
      <c r="X11" s="50" t="s">
        <v>173</v>
      </c>
      <c r="Y11" s="50" t="s">
        <v>173</v>
      </c>
    </row>
    <row r="12" spans="1:27" s="51" customFormat="1" outlineLevel="1" x14ac:dyDescent="0.2">
      <c r="A12" s="49" t="s">
        <v>205</v>
      </c>
      <c r="B12" s="69" t="s">
        <v>281</v>
      </c>
      <c r="C12" s="54" t="s">
        <v>283</v>
      </c>
      <c r="D12" s="54" t="s">
        <v>230</v>
      </c>
      <c r="E12" s="54" t="s">
        <v>230</v>
      </c>
      <c r="F12" s="51" t="s">
        <v>182</v>
      </c>
      <c r="G12" s="54" t="s">
        <v>230</v>
      </c>
      <c r="H12" s="51" t="s">
        <v>173</v>
      </c>
      <c r="I12" s="68" t="s">
        <v>209</v>
      </c>
      <c r="J12" s="51" t="s">
        <v>270</v>
      </c>
      <c r="M12" s="68" t="s">
        <v>209</v>
      </c>
      <c r="N12" s="51" t="s">
        <v>173</v>
      </c>
      <c r="O12" s="51" t="s">
        <v>173</v>
      </c>
      <c r="Q12" s="51" t="s">
        <v>274</v>
      </c>
      <c r="U12" s="53">
        <v>187</v>
      </c>
      <c r="X12" s="50" t="s">
        <v>173</v>
      </c>
      <c r="Y12" s="50" t="s">
        <v>173</v>
      </c>
    </row>
    <row r="13" spans="1:27" s="51" customFormat="1" ht="11.25" customHeight="1" outlineLevel="1" x14ac:dyDescent="0.2">
      <c r="A13" s="49" t="s">
        <v>205</v>
      </c>
      <c r="B13" s="69" t="s">
        <v>282</v>
      </c>
      <c r="C13" s="54" t="s">
        <v>284</v>
      </c>
      <c r="D13" s="54" t="s">
        <v>117</v>
      </c>
      <c r="E13" s="54" t="s">
        <v>117</v>
      </c>
      <c r="F13" s="51" t="s">
        <v>182</v>
      </c>
      <c r="G13" s="54" t="s">
        <v>117</v>
      </c>
      <c r="H13" s="51" t="s">
        <v>173</v>
      </c>
      <c r="I13" s="68" t="s">
        <v>209</v>
      </c>
      <c r="J13" s="51" t="s">
        <v>270</v>
      </c>
      <c r="M13" s="68" t="s">
        <v>209</v>
      </c>
      <c r="N13" s="51" t="s">
        <v>173</v>
      </c>
      <c r="O13" s="51" t="s">
        <v>173</v>
      </c>
      <c r="Q13" s="51" t="s">
        <v>274</v>
      </c>
      <c r="U13" s="53">
        <v>186</v>
      </c>
      <c r="X13" s="50" t="s">
        <v>173</v>
      </c>
      <c r="Y13" s="50" t="s">
        <v>173</v>
      </c>
    </row>
    <row r="14" spans="1:27" s="51" customFormat="1" outlineLevel="1" x14ac:dyDescent="0.2">
      <c r="A14" s="49"/>
      <c r="B14" s="54"/>
      <c r="C14" s="55"/>
      <c r="D14" s="54"/>
      <c r="E14" s="54"/>
      <c r="G14" s="54"/>
      <c r="N14" s="52"/>
      <c r="O14" s="52"/>
      <c r="U14" s="53"/>
      <c r="X14" s="50"/>
      <c r="Y14" s="50"/>
    </row>
    <row r="15" spans="1:27" s="38" customFormat="1" x14ac:dyDescent="0.2">
      <c r="A15" s="34" t="s">
        <v>180</v>
      </c>
      <c r="B15" s="35" t="s">
        <v>204</v>
      </c>
      <c r="C15" s="36"/>
      <c r="D15" s="35"/>
      <c r="E15" s="34"/>
      <c r="F15" s="34"/>
      <c r="G15" s="37"/>
      <c r="H15" s="34"/>
      <c r="I15" s="35"/>
      <c r="J15" s="35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</row>
    <row r="16" spans="1:27" s="43" customFormat="1" outlineLevel="1" x14ac:dyDescent="0.2">
      <c r="A16" s="39" t="s">
        <v>182</v>
      </c>
      <c r="B16" s="40" t="s">
        <v>183</v>
      </c>
      <c r="C16" s="40" t="s">
        <v>184</v>
      </c>
      <c r="D16" s="40" t="s">
        <v>185</v>
      </c>
      <c r="E16" s="39" t="s">
        <v>186</v>
      </c>
      <c r="F16" s="39" t="s">
        <v>200</v>
      </c>
      <c r="G16" s="41"/>
      <c r="H16" s="39"/>
      <c r="I16" s="40"/>
      <c r="J16" s="40"/>
      <c r="K16" s="39"/>
      <c r="L16" s="42"/>
      <c r="M16" s="39"/>
      <c r="N16" s="39"/>
      <c r="O16" s="42"/>
      <c r="P16" s="39"/>
      <c r="Q16" s="39"/>
      <c r="R16" s="39"/>
      <c r="S16" s="39"/>
      <c r="T16" s="39"/>
      <c r="U16" s="39"/>
      <c r="V16" s="39"/>
      <c r="W16" s="39"/>
      <c r="X16" s="39"/>
    </row>
    <row r="17" spans="1:25" s="48" customFormat="1" outlineLevel="1" x14ac:dyDescent="0.2">
      <c r="A17" s="44" t="s">
        <v>201</v>
      </c>
      <c r="B17" s="45" t="s">
        <v>202</v>
      </c>
      <c r="C17" s="45" t="s">
        <v>203</v>
      </c>
      <c r="D17" s="45" t="s">
        <v>203</v>
      </c>
      <c r="E17" s="44" t="s">
        <v>203</v>
      </c>
      <c r="F17" s="44" t="s">
        <v>229</v>
      </c>
      <c r="G17" s="46"/>
      <c r="H17" s="44"/>
      <c r="I17" s="45"/>
      <c r="J17" s="45"/>
      <c r="K17" s="44"/>
      <c r="L17" s="47"/>
      <c r="M17" s="44"/>
      <c r="N17" s="44"/>
      <c r="O17" s="47"/>
      <c r="P17" s="44"/>
      <c r="Q17" s="44"/>
      <c r="R17" s="44"/>
      <c r="S17" s="44"/>
      <c r="T17" s="44"/>
      <c r="U17" s="44"/>
      <c r="V17" s="44"/>
      <c r="W17" s="44"/>
      <c r="X17" s="44"/>
    </row>
    <row r="18" spans="1:25" s="51" customFormat="1" outlineLevel="1" x14ac:dyDescent="0.2">
      <c r="A18" s="49" t="s">
        <v>205</v>
      </c>
      <c r="B18" s="54" t="s">
        <v>231</v>
      </c>
      <c r="C18" s="50" t="s">
        <v>266</v>
      </c>
      <c r="D18" s="50" t="s">
        <v>211</v>
      </c>
      <c r="E18" s="50" t="s">
        <v>269</v>
      </c>
      <c r="G18" s="50"/>
      <c r="N18" s="52"/>
      <c r="O18" s="52"/>
      <c r="U18" s="53"/>
      <c r="X18" s="50"/>
      <c r="Y18" s="50"/>
    </row>
    <row r="19" spans="1:25" outlineLevel="1" x14ac:dyDescent="0.2">
      <c r="A19" s="49" t="s">
        <v>205</v>
      </c>
      <c r="B19" s="54" t="s">
        <v>232</v>
      </c>
      <c r="C19" s="50" t="s">
        <v>262</v>
      </c>
      <c r="D19" s="50" t="s">
        <v>109</v>
      </c>
      <c r="E19" s="50" t="s">
        <v>272</v>
      </c>
      <c r="F19" s="51"/>
      <c r="G19" s="50"/>
      <c r="H19" s="51"/>
      <c r="I19" s="51"/>
    </row>
    <row r="20" spans="1:25" outlineLevel="1" x14ac:dyDescent="0.2">
      <c r="A20" s="49" t="s">
        <v>205</v>
      </c>
      <c r="B20" s="54" t="s">
        <v>233</v>
      </c>
      <c r="C20" s="70" t="s">
        <v>265</v>
      </c>
      <c r="D20" s="70" t="s">
        <v>113</v>
      </c>
      <c r="E20" s="70" t="s">
        <v>275</v>
      </c>
      <c r="F20" s="51"/>
      <c r="G20" s="50"/>
      <c r="H20" s="51"/>
      <c r="I20" s="51"/>
    </row>
    <row r="21" spans="1:25" outlineLevel="1" x14ac:dyDescent="0.2">
      <c r="A21" s="49" t="s">
        <v>205</v>
      </c>
      <c r="B21" s="54" t="s">
        <v>234</v>
      </c>
      <c r="C21" s="70" t="s">
        <v>263</v>
      </c>
      <c r="D21" s="70" t="s">
        <v>111</v>
      </c>
      <c r="E21" s="70" t="s">
        <v>276</v>
      </c>
      <c r="F21" s="51"/>
      <c r="G21" s="50"/>
      <c r="H21" s="51"/>
      <c r="I21" s="51"/>
    </row>
    <row r="22" spans="1:25" outlineLevel="1" x14ac:dyDescent="0.2">
      <c r="A22" s="49" t="s">
        <v>205</v>
      </c>
      <c r="B22" s="54" t="s">
        <v>235</v>
      </c>
      <c r="C22" s="70" t="s">
        <v>264</v>
      </c>
      <c r="D22" s="70" t="s">
        <v>115</v>
      </c>
      <c r="E22" s="70" t="s">
        <v>277</v>
      </c>
      <c r="F22" s="51"/>
      <c r="G22" s="50"/>
      <c r="H22" s="51"/>
      <c r="I22" s="51"/>
    </row>
    <row r="23" spans="1:25" outlineLevel="1" x14ac:dyDescent="0.2">
      <c r="A23" s="49" t="s">
        <v>205</v>
      </c>
      <c r="B23" s="54" t="s">
        <v>236</v>
      </c>
      <c r="C23" s="70" t="s">
        <v>268</v>
      </c>
      <c r="D23" s="70" t="s">
        <v>125</v>
      </c>
      <c r="E23" s="70" t="s">
        <v>278</v>
      </c>
      <c r="F23" s="51"/>
      <c r="G23" s="50"/>
      <c r="H23" s="51"/>
      <c r="I23" s="51"/>
    </row>
    <row r="24" spans="1:25" outlineLevel="1" x14ac:dyDescent="0.2">
      <c r="A24" s="49" t="s">
        <v>205</v>
      </c>
      <c r="B24" s="54" t="s">
        <v>237</v>
      </c>
      <c r="C24" s="50" t="s">
        <v>285</v>
      </c>
      <c r="D24" s="50" t="s">
        <v>127</v>
      </c>
      <c r="E24" s="50" t="s">
        <v>127</v>
      </c>
      <c r="F24" s="51"/>
      <c r="G24" s="50"/>
      <c r="H24" s="51"/>
      <c r="I24" s="51"/>
    </row>
    <row r="25" spans="1:25" outlineLevel="1" x14ac:dyDescent="0.2">
      <c r="A25" s="49" t="s">
        <v>205</v>
      </c>
      <c r="B25" s="54" t="s">
        <v>238</v>
      </c>
      <c r="C25" s="50" t="s">
        <v>286</v>
      </c>
      <c r="D25" s="50" t="s">
        <v>129</v>
      </c>
      <c r="E25" s="50" t="s">
        <v>129</v>
      </c>
      <c r="F25" s="51"/>
      <c r="G25" s="50"/>
      <c r="H25" s="51"/>
      <c r="I25" s="51"/>
    </row>
    <row r="26" spans="1:25" outlineLevel="1" x14ac:dyDescent="0.2">
      <c r="A26" s="49" t="s">
        <v>205</v>
      </c>
      <c r="B26" s="54" t="s">
        <v>239</v>
      </c>
      <c r="C26" s="54" t="s">
        <v>287</v>
      </c>
      <c r="D26" s="54" t="s">
        <v>230</v>
      </c>
      <c r="E26" s="54" t="s">
        <v>230</v>
      </c>
      <c r="F26" s="51"/>
      <c r="G26" s="50"/>
      <c r="H26" s="51"/>
      <c r="I26" s="51"/>
    </row>
    <row r="27" spans="1:25" outlineLevel="1" x14ac:dyDescent="0.2">
      <c r="A27" s="49" t="s">
        <v>205</v>
      </c>
      <c r="B27" s="54" t="s">
        <v>240</v>
      </c>
      <c r="C27" s="54" t="s">
        <v>284</v>
      </c>
      <c r="D27" s="54" t="s">
        <v>117</v>
      </c>
      <c r="E27" s="54" t="s">
        <v>117</v>
      </c>
      <c r="F27" s="51"/>
      <c r="G27" s="50"/>
      <c r="H27" s="51"/>
      <c r="I27" s="51"/>
    </row>
    <row r="28" spans="1:25" x14ac:dyDescent="0.2">
      <c r="H28" s="51"/>
      <c r="I28" s="51"/>
    </row>
    <row r="29" spans="1:25" s="72" customFormat="1" x14ac:dyDescent="0.2">
      <c r="A29" s="72" t="s">
        <v>180</v>
      </c>
      <c r="B29" s="72" t="s">
        <v>206</v>
      </c>
      <c r="F29" s="73"/>
      <c r="G29" s="73"/>
    </row>
    <row r="30" spans="1:25" s="72" customFormat="1" outlineLevel="1" x14ac:dyDescent="0.2">
      <c r="A30" s="72" t="s">
        <v>182</v>
      </c>
      <c r="B30" s="72" t="s">
        <v>183</v>
      </c>
      <c r="C30" s="72" t="s">
        <v>207</v>
      </c>
      <c r="D30" s="72" t="s">
        <v>208</v>
      </c>
      <c r="F30" s="73"/>
      <c r="G30" s="73"/>
    </row>
    <row r="31" spans="1:25" s="72" customFormat="1" outlineLevel="1" x14ac:dyDescent="0.2">
      <c r="A31" s="72" t="s">
        <v>201</v>
      </c>
      <c r="B31" s="72" t="s">
        <v>202</v>
      </c>
      <c r="C31" s="72" t="s">
        <v>202</v>
      </c>
      <c r="D31" s="72" t="s">
        <v>202</v>
      </c>
      <c r="F31" s="73"/>
      <c r="G31" s="73"/>
    </row>
    <row r="32" spans="1:25" outlineLevel="1" x14ac:dyDescent="0.2">
      <c r="A32" s="71" t="s">
        <v>205</v>
      </c>
      <c r="B32" s="54" t="s">
        <v>241</v>
      </c>
      <c r="C32" s="67" t="s">
        <v>210</v>
      </c>
      <c r="D32" s="54" t="s">
        <v>231</v>
      </c>
      <c r="E32" s="50" t="s">
        <v>211</v>
      </c>
      <c r="G32" s="51"/>
    </row>
    <row r="33" spans="1:10" outlineLevel="1" x14ac:dyDescent="0.2">
      <c r="A33" s="71" t="s">
        <v>205</v>
      </c>
      <c r="B33" s="54" t="s">
        <v>242</v>
      </c>
      <c r="C33" s="67" t="s">
        <v>212</v>
      </c>
      <c r="D33" s="54" t="s">
        <v>232</v>
      </c>
      <c r="E33" s="50" t="s">
        <v>109</v>
      </c>
      <c r="G33" s="51"/>
    </row>
    <row r="34" spans="1:10" outlineLevel="1" x14ac:dyDescent="0.2">
      <c r="A34" s="71" t="s">
        <v>205</v>
      </c>
      <c r="B34" s="54" t="s">
        <v>243</v>
      </c>
      <c r="C34" s="70" t="s">
        <v>214</v>
      </c>
      <c r="D34" s="54" t="s">
        <v>233</v>
      </c>
      <c r="E34" s="70" t="s">
        <v>113</v>
      </c>
      <c r="G34" s="51"/>
    </row>
    <row r="35" spans="1:10" outlineLevel="1" x14ac:dyDescent="0.2">
      <c r="A35" s="71" t="s">
        <v>205</v>
      </c>
      <c r="B35" s="54" t="s">
        <v>244</v>
      </c>
      <c r="C35" s="70" t="s">
        <v>213</v>
      </c>
      <c r="D35" s="54" t="s">
        <v>234</v>
      </c>
      <c r="E35" s="70" t="s">
        <v>111</v>
      </c>
      <c r="G35" s="51"/>
    </row>
    <row r="36" spans="1:10" outlineLevel="1" x14ac:dyDescent="0.2">
      <c r="A36" s="71" t="s">
        <v>205</v>
      </c>
      <c r="B36" s="54" t="s">
        <v>245</v>
      </c>
      <c r="C36" s="70" t="s">
        <v>215</v>
      </c>
      <c r="D36" s="54" t="s">
        <v>235</v>
      </c>
      <c r="E36" s="70" t="s">
        <v>115</v>
      </c>
      <c r="G36" s="51"/>
    </row>
    <row r="37" spans="1:10" outlineLevel="1" x14ac:dyDescent="0.2">
      <c r="A37" s="71" t="s">
        <v>205</v>
      </c>
      <c r="B37" s="54" t="s">
        <v>246</v>
      </c>
      <c r="C37" s="70" t="s">
        <v>267</v>
      </c>
      <c r="D37" s="54" t="s">
        <v>236</v>
      </c>
      <c r="E37" s="70" t="s">
        <v>125</v>
      </c>
      <c r="G37" s="51"/>
    </row>
    <row r="38" spans="1:10" outlineLevel="1" x14ac:dyDescent="0.2">
      <c r="A38" s="71" t="s">
        <v>205</v>
      </c>
      <c r="B38" s="54" t="s">
        <v>247</v>
      </c>
      <c r="C38" s="69" t="s">
        <v>279</v>
      </c>
      <c r="D38" s="54" t="s">
        <v>237</v>
      </c>
      <c r="E38" s="50" t="s">
        <v>127</v>
      </c>
      <c r="G38" s="51"/>
    </row>
    <row r="39" spans="1:10" outlineLevel="1" x14ac:dyDescent="0.2">
      <c r="A39" s="71" t="s">
        <v>205</v>
      </c>
      <c r="B39" s="54" t="s">
        <v>248</v>
      </c>
      <c r="C39" s="69" t="s">
        <v>280</v>
      </c>
      <c r="D39" s="54" t="s">
        <v>238</v>
      </c>
      <c r="E39" s="50" t="s">
        <v>129</v>
      </c>
      <c r="G39" s="51"/>
    </row>
    <row r="40" spans="1:10" outlineLevel="1" x14ac:dyDescent="0.2">
      <c r="A40" s="71" t="s">
        <v>205</v>
      </c>
      <c r="B40" s="54" t="s">
        <v>249</v>
      </c>
      <c r="C40" s="69" t="s">
        <v>281</v>
      </c>
      <c r="D40" s="54" t="s">
        <v>239</v>
      </c>
      <c r="E40" s="54" t="s">
        <v>230</v>
      </c>
      <c r="G40" s="51"/>
    </row>
    <row r="41" spans="1:10" outlineLevel="1" x14ac:dyDescent="0.2">
      <c r="A41" s="71" t="s">
        <v>205</v>
      </c>
      <c r="B41" s="54" t="s">
        <v>250</v>
      </c>
      <c r="C41" s="69" t="s">
        <v>282</v>
      </c>
      <c r="D41" s="54" t="s">
        <v>240</v>
      </c>
      <c r="E41" s="54" t="s">
        <v>117</v>
      </c>
      <c r="G41" s="51"/>
    </row>
    <row r="42" spans="1:10" outlineLevel="1" x14ac:dyDescent="0.2">
      <c r="B42" s="70"/>
      <c r="C42" s="74"/>
      <c r="D42" s="51"/>
      <c r="E42" s="75"/>
      <c r="G42" s="51"/>
    </row>
    <row r="43" spans="1:10" s="72" customFormat="1" x14ac:dyDescent="0.2">
      <c r="A43" s="72" t="s">
        <v>180</v>
      </c>
      <c r="B43" s="72" t="s">
        <v>216</v>
      </c>
      <c r="G43" s="76"/>
      <c r="H43" s="76"/>
    </row>
    <row r="44" spans="1:10" s="72" customFormat="1" outlineLevel="1" x14ac:dyDescent="0.2">
      <c r="A44" s="72" t="s">
        <v>182</v>
      </c>
      <c r="B44" s="72" t="s">
        <v>183</v>
      </c>
      <c r="C44" s="72" t="s">
        <v>184</v>
      </c>
      <c r="D44" s="72" t="s">
        <v>185</v>
      </c>
      <c r="E44" s="72" t="s">
        <v>217</v>
      </c>
      <c r="F44" s="73" t="s">
        <v>207</v>
      </c>
      <c r="G44" s="73" t="s">
        <v>208</v>
      </c>
      <c r="H44" s="72" t="s">
        <v>218</v>
      </c>
      <c r="I44" s="72" t="s">
        <v>219</v>
      </c>
      <c r="J44" s="72" t="s">
        <v>220</v>
      </c>
    </row>
    <row r="45" spans="1:10" s="72" customFormat="1" outlineLevel="1" x14ac:dyDescent="0.2">
      <c r="A45" s="72" t="s">
        <v>201</v>
      </c>
      <c r="B45" s="72" t="s">
        <v>202</v>
      </c>
      <c r="C45" s="72" t="s">
        <v>203</v>
      </c>
      <c r="D45" s="72" t="s">
        <v>203</v>
      </c>
      <c r="E45" s="72" t="s">
        <v>203</v>
      </c>
      <c r="F45" s="73" t="s">
        <v>202</v>
      </c>
      <c r="G45" s="73" t="s">
        <v>202</v>
      </c>
      <c r="H45" s="72" t="s">
        <v>203</v>
      </c>
      <c r="I45" s="72" t="s">
        <v>203</v>
      </c>
      <c r="J45" s="72" t="s">
        <v>202</v>
      </c>
    </row>
    <row r="46" spans="1:10" outlineLevel="1" x14ac:dyDescent="0.2">
      <c r="A46" s="71" t="s">
        <v>205</v>
      </c>
      <c r="B46" s="54" t="s">
        <v>251</v>
      </c>
      <c r="C46" s="50" t="s">
        <v>266</v>
      </c>
      <c r="D46" s="50" t="s">
        <v>266</v>
      </c>
      <c r="E46" s="71" t="s">
        <v>221</v>
      </c>
      <c r="G46" s="71" t="s">
        <v>231</v>
      </c>
    </row>
    <row r="47" spans="1:10" outlineLevel="1" x14ac:dyDescent="0.2">
      <c r="A47" s="71" t="s">
        <v>205</v>
      </c>
      <c r="B47" s="54" t="s">
        <v>252</v>
      </c>
      <c r="C47" s="50" t="s">
        <v>262</v>
      </c>
      <c r="D47" s="50" t="s">
        <v>262</v>
      </c>
      <c r="E47" s="71" t="s">
        <v>221</v>
      </c>
      <c r="G47" s="71" t="s">
        <v>232</v>
      </c>
    </row>
    <row r="48" spans="1:10" outlineLevel="1" x14ac:dyDescent="0.2">
      <c r="A48" s="71" t="s">
        <v>205</v>
      </c>
      <c r="B48" s="54" t="s">
        <v>253</v>
      </c>
      <c r="C48" s="70" t="s">
        <v>265</v>
      </c>
      <c r="D48" s="70" t="s">
        <v>265</v>
      </c>
      <c r="E48" s="71" t="s">
        <v>221</v>
      </c>
      <c r="G48" s="71" t="s">
        <v>233</v>
      </c>
    </row>
    <row r="49" spans="1:7" outlineLevel="1" x14ac:dyDescent="0.2">
      <c r="A49" s="71" t="s">
        <v>205</v>
      </c>
      <c r="B49" s="54" t="s">
        <v>254</v>
      </c>
      <c r="C49" s="70" t="s">
        <v>263</v>
      </c>
      <c r="D49" s="70" t="s">
        <v>263</v>
      </c>
      <c r="E49" s="71" t="s">
        <v>221</v>
      </c>
      <c r="G49" s="71" t="s">
        <v>234</v>
      </c>
    </row>
    <row r="50" spans="1:7" outlineLevel="1" x14ac:dyDescent="0.2">
      <c r="A50" s="71" t="s">
        <v>205</v>
      </c>
      <c r="B50" s="54" t="s">
        <v>255</v>
      </c>
      <c r="C50" s="70" t="s">
        <v>264</v>
      </c>
      <c r="D50" s="70" t="s">
        <v>264</v>
      </c>
      <c r="E50" s="71" t="s">
        <v>221</v>
      </c>
      <c r="G50" s="71" t="s">
        <v>235</v>
      </c>
    </row>
    <row r="51" spans="1:7" outlineLevel="1" x14ac:dyDescent="0.2">
      <c r="A51" s="71" t="s">
        <v>205</v>
      </c>
      <c r="B51" s="54" t="s">
        <v>256</v>
      </c>
      <c r="C51" s="70" t="s">
        <v>268</v>
      </c>
      <c r="D51" s="70" t="s">
        <v>268</v>
      </c>
      <c r="E51" s="71" t="s">
        <v>221</v>
      </c>
      <c r="G51" s="71" t="s">
        <v>236</v>
      </c>
    </row>
    <row r="52" spans="1:7" outlineLevel="1" x14ac:dyDescent="0.2">
      <c r="A52" s="71" t="s">
        <v>205</v>
      </c>
      <c r="B52" s="54" t="s">
        <v>257</v>
      </c>
      <c r="C52" s="50" t="s">
        <v>285</v>
      </c>
      <c r="D52" s="50" t="s">
        <v>285</v>
      </c>
      <c r="E52" s="71" t="s">
        <v>221</v>
      </c>
      <c r="G52" s="71" t="s">
        <v>237</v>
      </c>
    </row>
    <row r="53" spans="1:7" outlineLevel="1" x14ac:dyDescent="0.2">
      <c r="A53" s="71" t="s">
        <v>205</v>
      </c>
      <c r="B53" s="54" t="s">
        <v>258</v>
      </c>
      <c r="C53" s="50" t="s">
        <v>286</v>
      </c>
      <c r="D53" s="50" t="s">
        <v>286</v>
      </c>
      <c r="E53" s="71" t="s">
        <v>221</v>
      </c>
      <c r="G53" s="71" t="s">
        <v>238</v>
      </c>
    </row>
    <row r="54" spans="1:7" outlineLevel="1" x14ac:dyDescent="0.2">
      <c r="A54" s="71" t="s">
        <v>205</v>
      </c>
      <c r="B54" s="54" t="s">
        <v>259</v>
      </c>
      <c r="C54" s="54" t="s">
        <v>287</v>
      </c>
      <c r="D54" s="54" t="s">
        <v>287</v>
      </c>
      <c r="E54" s="71" t="s">
        <v>221</v>
      </c>
      <c r="G54" s="71" t="s">
        <v>239</v>
      </c>
    </row>
    <row r="55" spans="1:7" outlineLevel="1" x14ac:dyDescent="0.2">
      <c r="A55" s="71" t="s">
        <v>205</v>
      </c>
      <c r="B55" s="54" t="s">
        <v>260</v>
      </c>
      <c r="C55" s="54" t="s">
        <v>284</v>
      </c>
      <c r="D55" s="54" t="s">
        <v>284</v>
      </c>
      <c r="E55" s="71" t="s">
        <v>221</v>
      </c>
      <c r="G55" s="71" t="s">
        <v>240</v>
      </c>
    </row>
    <row r="56" spans="1:7" outlineLevel="1" x14ac:dyDescent="0.2"/>
  </sheetData>
  <phoneticPr fontId="13" type="noConversion"/>
  <conditionalFormatting sqref="A1:B2 D1:J2 C2 A3:J3 K1:X3">
    <cfRule type="expression" dxfId="16" priority="13" stopIfTrue="1">
      <formula>OR($A1="TH",$A1="TN")</formula>
    </cfRule>
  </conditionalFormatting>
  <conditionalFormatting sqref="O1:O3">
    <cfRule type="duplicateValues" dxfId="15" priority="12"/>
  </conditionalFormatting>
  <conditionalFormatting sqref="H4:J14 M4:M14">
    <cfRule type="expression" dxfId="14" priority="11" stopIfTrue="1">
      <formula>OR(#REF!="TN",#REF!="TH",#REF!="DD")</formula>
    </cfRule>
  </conditionalFormatting>
  <conditionalFormatting sqref="A4:A14">
    <cfRule type="expression" dxfId="13" priority="10" stopIfTrue="1">
      <formula>OR($A4="TN",$A4="TH",$A4="DD")</formula>
    </cfRule>
  </conditionalFormatting>
  <conditionalFormatting sqref="A15:B16 D15:J16 C16 A17:E17 K15:X17 G17:J17">
    <cfRule type="expression" dxfId="12" priority="9" stopIfTrue="1">
      <formula>OR($A15="TH",$A15="TN")</formula>
    </cfRule>
  </conditionalFormatting>
  <conditionalFormatting sqref="O15:O17">
    <cfRule type="duplicateValues" dxfId="11" priority="8"/>
  </conditionalFormatting>
  <conditionalFormatting sqref="M18 H18:J18 H19:I28">
    <cfRule type="expression" dxfId="10" priority="7" stopIfTrue="1">
      <formula>OR(#REF!="TN",#REF!="TH",#REF!="DD")</formula>
    </cfRule>
  </conditionalFormatting>
  <conditionalFormatting sqref="A18:A27">
    <cfRule type="expression" dxfId="9" priority="5" stopIfTrue="1">
      <formula>OR($A18="TN",$A18="TH",$A18="DD")</formula>
    </cfRule>
  </conditionalFormatting>
  <conditionalFormatting sqref="F17">
    <cfRule type="expression" dxfId="8" priority="4" stopIfTrue="1">
      <formula>OR($A17="TH",$A17="TN")</formula>
    </cfRule>
  </conditionalFormatting>
  <conditionalFormatting sqref="N4:O4">
    <cfRule type="expression" dxfId="7" priority="3" stopIfTrue="1">
      <formula>OR(#REF!="TN",#REF!="TH",#REF!="DD")</formula>
    </cfRule>
  </conditionalFormatting>
  <conditionalFormatting sqref="N5:O5">
    <cfRule type="expression" dxfId="6" priority="2" stopIfTrue="1">
      <formula>OR(#REF!="TN",#REF!="TH",#REF!="DD")</formula>
    </cfRule>
  </conditionalFormatting>
  <conditionalFormatting sqref="N6:O13">
    <cfRule type="expression" dxfId="5" priority="1" stopIfTrue="1">
      <formula>OR(#REF!="TN",#REF!="TH",#REF!="DD")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21098-04A8-4109-B7FA-E7D6371C5F54}">
  <dimension ref="A1:L41"/>
  <sheetViews>
    <sheetView workbookViewId="0">
      <selection activeCell="F11" sqref="F11"/>
    </sheetView>
  </sheetViews>
  <sheetFormatPr defaultRowHeight="10.5" x14ac:dyDescent="0.15"/>
  <cols>
    <col min="1" max="1" width="11.25" style="24" bestFit="1" customWidth="1"/>
    <col min="2" max="2" width="7.875" style="24" bestFit="1" customWidth="1"/>
    <col min="3" max="3" width="11.5" style="24" bestFit="1" customWidth="1"/>
    <col min="4" max="4" width="7.375" style="24" bestFit="1" customWidth="1"/>
    <col min="5" max="5" width="30" style="24" bestFit="1" customWidth="1"/>
    <col min="6" max="6" width="7.125" style="114" bestFit="1" customWidth="1"/>
    <col min="7" max="7" width="8.875" style="114" bestFit="1" customWidth="1"/>
    <col min="8" max="8" width="8.25" style="24" bestFit="1" customWidth="1"/>
    <col min="9" max="9" width="6.875" style="24" bestFit="1" customWidth="1"/>
    <col min="10" max="10" width="8.625" style="24" bestFit="1" customWidth="1"/>
    <col min="11" max="16384" width="9" style="24"/>
  </cols>
  <sheetData>
    <row r="1" spans="1:12" ht="12.75" x14ac:dyDescent="0.2">
      <c r="A1" s="24" t="s">
        <v>468</v>
      </c>
      <c r="B1" s="24" t="s">
        <v>469</v>
      </c>
      <c r="C1" s="24" t="s">
        <v>470</v>
      </c>
      <c r="D1" s="24" t="s">
        <v>471</v>
      </c>
      <c r="E1" s="24" t="s">
        <v>472</v>
      </c>
      <c r="F1" s="114" t="s">
        <v>473</v>
      </c>
      <c r="G1" s="114" t="s">
        <v>474</v>
      </c>
      <c r="H1" s="24" t="s">
        <v>475</v>
      </c>
      <c r="I1" s="24" t="s">
        <v>476</v>
      </c>
      <c r="J1" s="24" t="s">
        <v>477</v>
      </c>
      <c r="K1" s="115">
        <v>31810</v>
      </c>
      <c r="L1" s="115" t="s">
        <v>92</v>
      </c>
    </row>
    <row r="2" spans="1:12" x14ac:dyDescent="0.15">
      <c r="A2" s="24" t="s">
        <v>413</v>
      </c>
      <c r="B2" s="116">
        <v>45047</v>
      </c>
      <c r="C2" s="117" t="s">
        <v>478</v>
      </c>
      <c r="D2" s="24" t="s">
        <v>479</v>
      </c>
      <c r="E2" s="24" t="s">
        <v>480</v>
      </c>
      <c r="F2" s="114">
        <v>150</v>
      </c>
      <c r="G2" s="114">
        <v>150</v>
      </c>
      <c r="H2" s="116">
        <v>45047</v>
      </c>
      <c r="I2" s="118" t="s">
        <v>174</v>
      </c>
    </row>
    <row r="3" spans="1:12" x14ac:dyDescent="0.15">
      <c r="A3" s="24" t="s">
        <v>413</v>
      </c>
      <c r="B3" s="116">
        <v>45047</v>
      </c>
      <c r="C3" s="117" t="s">
        <v>478</v>
      </c>
      <c r="D3" s="24" t="s">
        <v>481</v>
      </c>
      <c r="E3" s="24" t="s">
        <v>482</v>
      </c>
      <c r="F3" s="114">
        <v>30</v>
      </c>
      <c r="G3" s="114">
        <v>30</v>
      </c>
      <c r="H3" s="116">
        <v>45047</v>
      </c>
      <c r="I3" s="118" t="s">
        <v>174</v>
      </c>
    </row>
    <row r="4" spans="1:12" x14ac:dyDescent="0.15">
      <c r="A4" s="24" t="s">
        <v>413</v>
      </c>
      <c r="B4" s="116">
        <v>45048</v>
      </c>
      <c r="C4" s="117" t="s">
        <v>478</v>
      </c>
      <c r="D4" s="24" t="s">
        <v>483</v>
      </c>
      <c r="E4" s="24" t="s">
        <v>484</v>
      </c>
      <c r="F4" s="114">
        <v>5</v>
      </c>
      <c r="G4" s="114">
        <v>5</v>
      </c>
      <c r="H4" s="116">
        <v>45048</v>
      </c>
      <c r="I4" s="118" t="s">
        <v>174</v>
      </c>
    </row>
    <row r="5" spans="1:12" x14ac:dyDescent="0.15">
      <c r="A5" s="24" t="s">
        <v>413</v>
      </c>
      <c r="B5" s="116">
        <v>45049</v>
      </c>
      <c r="C5" s="117" t="s">
        <v>478</v>
      </c>
      <c r="D5" s="24" t="s">
        <v>485</v>
      </c>
      <c r="E5" s="24" t="s">
        <v>486</v>
      </c>
      <c r="F5" s="114">
        <v>120</v>
      </c>
      <c r="G5" s="114">
        <v>120</v>
      </c>
      <c r="H5" s="116">
        <v>45049</v>
      </c>
      <c r="I5" s="118" t="s">
        <v>174</v>
      </c>
    </row>
    <row r="6" spans="1:12" x14ac:dyDescent="0.15">
      <c r="A6" s="24" t="s">
        <v>413</v>
      </c>
      <c r="B6" s="116">
        <v>45049</v>
      </c>
      <c r="C6" s="117" t="s">
        <v>478</v>
      </c>
      <c r="D6" s="24" t="s">
        <v>487</v>
      </c>
      <c r="E6" s="24" t="s">
        <v>488</v>
      </c>
      <c r="F6" s="114">
        <v>125</v>
      </c>
      <c r="G6" s="114">
        <v>125</v>
      </c>
      <c r="H6" s="116">
        <v>45049</v>
      </c>
      <c r="I6" s="118" t="s">
        <v>174</v>
      </c>
    </row>
    <row r="7" spans="1:12" x14ac:dyDescent="0.15">
      <c r="A7" s="24" t="s">
        <v>413</v>
      </c>
      <c r="B7" s="116">
        <v>45047</v>
      </c>
      <c r="C7" s="117" t="s">
        <v>478</v>
      </c>
      <c r="D7" s="24" t="s">
        <v>489</v>
      </c>
      <c r="E7" s="24" t="s">
        <v>490</v>
      </c>
      <c r="F7" s="114">
        <v>86</v>
      </c>
      <c r="G7" s="114">
        <v>86</v>
      </c>
      <c r="H7" s="116">
        <v>45047</v>
      </c>
      <c r="I7" s="118" t="s">
        <v>174</v>
      </c>
    </row>
    <row r="8" spans="1:12" s="119" customFormat="1" x14ac:dyDescent="0.15">
      <c r="A8" s="24" t="s">
        <v>413</v>
      </c>
      <c r="B8" s="120">
        <v>45047</v>
      </c>
      <c r="C8" s="121" t="s">
        <v>478</v>
      </c>
      <c r="D8" s="119" t="s">
        <v>491</v>
      </c>
      <c r="E8" s="119" t="s">
        <v>492</v>
      </c>
      <c r="F8" s="122">
        <v>2</v>
      </c>
      <c r="G8" s="122">
        <v>2</v>
      </c>
      <c r="H8" s="120">
        <v>45047</v>
      </c>
      <c r="I8" s="123" t="s">
        <v>174</v>
      </c>
    </row>
    <row r="9" spans="1:12" ht="12" x14ac:dyDescent="0.2">
      <c r="A9" s="24" t="s">
        <v>413</v>
      </c>
      <c r="B9" s="125">
        <v>45047</v>
      </c>
      <c r="C9" s="124"/>
      <c r="D9" s="126" t="s">
        <v>265</v>
      </c>
      <c r="E9" s="126" t="s">
        <v>113</v>
      </c>
      <c r="F9" s="127">
        <f>$K$1/30/$C2/60*$F2*1.5</f>
        <v>568.03571428571411</v>
      </c>
      <c r="G9" s="127">
        <f>$K$1/30/$C2/60*$F2*1.5</f>
        <v>568.03571428571411</v>
      </c>
      <c r="H9" s="125">
        <v>45047</v>
      </c>
      <c r="I9" s="128" t="s">
        <v>174</v>
      </c>
      <c r="J9" s="124"/>
    </row>
    <row r="10" spans="1:12" ht="12" x14ac:dyDescent="0.2">
      <c r="A10" s="24" t="s">
        <v>413</v>
      </c>
      <c r="B10" s="125">
        <v>45047</v>
      </c>
      <c r="C10" s="124"/>
      <c r="D10" s="126" t="s">
        <v>268</v>
      </c>
      <c r="E10" s="126" t="s">
        <v>125</v>
      </c>
      <c r="F10" s="127">
        <f t="shared" ref="F10:G12" si="0">$K$1/30/$C3/60*$F3</f>
        <v>75.738095238095227</v>
      </c>
      <c r="G10" s="127">
        <f t="shared" si="0"/>
        <v>75.738095238095227</v>
      </c>
      <c r="H10" s="125">
        <v>45047</v>
      </c>
      <c r="I10" s="128" t="s">
        <v>174</v>
      </c>
      <c r="J10" s="124"/>
    </row>
    <row r="11" spans="1:12" ht="12" x14ac:dyDescent="0.2">
      <c r="A11" s="24" t="s">
        <v>413</v>
      </c>
      <c r="B11" s="125">
        <v>45048</v>
      </c>
      <c r="C11" s="124"/>
      <c r="D11" s="129" t="s">
        <v>285</v>
      </c>
      <c r="E11" s="129" t="s">
        <v>127</v>
      </c>
      <c r="F11" s="127">
        <f t="shared" si="0"/>
        <v>12.62301587301587</v>
      </c>
      <c r="G11" s="127">
        <f t="shared" si="0"/>
        <v>12.62301587301587</v>
      </c>
      <c r="H11" s="125">
        <v>45048</v>
      </c>
      <c r="I11" s="128" t="s">
        <v>174</v>
      </c>
      <c r="J11" s="124"/>
    </row>
    <row r="12" spans="1:12" ht="12" x14ac:dyDescent="0.2">
      <c r="A12" s="24" t="s">
        <v>413</v>
      </c>
      <c r="B12" s="125">
        <v>45049</v>
      </c>
      <c r="C12" s="124"/>
      <c r="D12" s="130" t="s">
        <v>283</v>
      </c>
      <c r="E12" s="130" t="s">
        <v>230</v>
      </c>
      <c r="F12" s="127">
        <f t="shared" si="0"/>
        <v>302.95238095238091</v>
      </c>
      <c r="G12" s="127">
        <f t="shared" si="0"/>
        <v>302.95238095238091</v>
      </c>
      <c r="H12" s="125">
        <v>45049</v>
      </c>
      <c r="I12" s="128" t="s">
        <v>174</v>
      </c>
      <c r="J12" s="124"/>
    </row>
    <row r="13" spans="1:12" ht="12" x14ac:dyDescent="0.2">
      <c r="A13" s="24" t="s">
        <v>413</v>
      </c>
      <c r="B13" s="125">
        <v>45049</v>
      </c>
      <c r="C13" s="124"/>
      <c r="D13" s="130" t="s">
        <v>493</v>
      </c>
      <c r="E13" s="130" t="s">
        <v>494</v>
      </c>
      <c r="F13" s="127">
        <f>F6</f>
        <v>125</v>
      </c>
      <c r="G13" s="127">
        <f>G6</f>
        <v>125</v>
      </c>
      <c r="H13" s="125">
        <v>45049</v>
      </c>
      <c r="I13" s="128" t="s">
        <v>174</v>
      </c>
      <c r="J13" s="124"/>
    </row>
    <row r="14" spans="1:12" ht="12" x14ac:dyDescent="0.2">
      <c r="A14" s="24" t="s">
        <v>413</v>
      </c>
      <c r="B14" s="125">
        <v>45047</v>
      </c>
      <c r="C14" s="124"/>
      <c r="D14" s="130" t="s">
        <v>495</v>
      </c>
      <c r="E14" s="130" t="s">
        <v>496</v>
      </c>
      <c r="F14" s="127">
        <f t="shared" ref="F14:G15" si="1">F7</f>
        <v>86</v>
      </c>
      <c r="G14" s="127">
        <f t="shared" si="1"/>
        <v>86</v>
      </c>
      <c r="H14" s="125">
        <v>45047</v>
      </c>
      <c r="I14" s="128" t="s">
        <v>174</v>
      </c>
      <c r="J14" s="124"/>
    </row>
    <row r="15" spans="1:12" s="119" customFormat="1" ht="12" x14ac:dyDescent="0.2">
      <c r="A15" s="24" t="s">
        <v>413</v>
      </c>
      <c r="B15" s="132">
        <v>45047</v>
      </c>
      <c r="C15" s="131"/>
      <c r="D15" s="133" t="s">
        <v>497</v>
      </c>
      <c r="E15" s="133" t="s">
        <v>498</v>
      </c>
      <c r="F15" s="134">
        <f>$K$1/30*$F8</f>
        <v>2120.6666666666665</v>
      </c>
      <c r="G15" s="134">
        <f t="shared" si="1"/>
        <v>2</v>
      </c>
      <c r="H15" s="132">
        <v>45047</v>
      </c>
      <c r="I15" s="135" t="s">
        <v>174</v>
      </c>
      <c r="J15" s="131"/>
    </row>
    <row r="16" spans="1:12" ht="12.75" x14ac:dyDescent="0.2">
      <c r="A16" s="24" t="s">
        <v>468</v>
      </c>
      <c r="B16" s="24" t="s">
        <v>469</v>
      </c>
      <c r="C16" s="24" t="s">
        <v>470</v>
      </c>
      <c r="D16" s="24" t="s">
        <v>471</v>
      </c>
      <c r="E16" s="24" t="s">
        <v>472</v>
      </c>
      <c r="F16" s="114" t="s">
        <v>473</v>
      </c>
      <c r="G16" s="114" t="s">
        <v>474</v>
      </c>
      <c r="H16" s="24" t="s">
        <v>475</v>
      </c>
      <c r="I16" s="24" t="s">
        <v>476</v>
      </c>
      <c r="J16" s="24" t="s">
        <v>477</v>
      </c>
      <c r="K16" s="136">
        <v>383</v>
      </c>
      <c r="L16" s="115" t="s">
        <v>499</v>
      </c>
    </row>
    <row r="17" spans="1:12" x14ac:dyDescent="0.15">
      <c r="A17" s="24" t="s">
        <v>430</v>
      </c>
      <c r="B17" s="116">
        <v>45047</v>
      </c>
      <c r="C17" s="117" t="s">
        <v>500</v>
      </c>
      <c r="D17" s="24" t="s">
        <v>501</v>
      </c>
      <c r="E17" s="24" t="s">
        <v>502</v>
      </c>
      <c r="F17" s="114">
        <v>50</v>
      </c>
      <c r="G17" s="114">
        <v>50</v>
      </c>
      <c r="H17" s="116">
        <v>45047</v>
      </c>
      <c r="I17" s="118" t="s">
        <v>174</v>
      </c>
    </row>
    <row r="18" spans="1:12" x14ac:dyDescent="0.15">
      <c r="A18" s="24" t="s">
        <v>430</v>
      </c>
      <c r="B18" s="116">
        <v>45047</v>
      </c>
      <c r="C18" s="117" t="s">
        <v>500</v>
      </c>
      <c r="D18" s="24" t="s">
        <v>503</v>
      </c>
      <c r="E18" s="24" t="s">
        <v>504</v>
      </c>
      <c r="F18" s="114">
        <v>480</v>
      </c>
      <c r="G18" s="114">
        <v>480</v>
      </c>
      <c r="H18" s="116">
        <v>45047</v>
      </c>
      <c r="I18" s="118" t="s">
        <v>174</v>
      </c>
    </row>
    <row r="19" spans="1:12" x14ac:dyDescent="0.15">
      <c r="A19" s="24" t="s">
        <v>430</v>
      </c>
      <c r="B19" s="116">
        <v>45047</v>
      </c>
      <c r="C19" s="117" t="s">
        <v>500</v>
      </c>
      <c r="D19" s="24" t="s">
        <v>503</v>
      </c>
      <c r="E19" s="24" t="s">
        <v>504</v>
      </c>
      <c r="F19" s="114">
        <v>-120</v>
      </c>
      <c r="G19" s="114">
        <v>-120</v>
      </c>
      <c r="H19" s="116">
        <v>45047</v>
      </c>
      <c r="I19" s="118" t="s">
        <v>174</v>
      </c>
    </row>
    <row r="20" spans="1:12" x14ac:dyDescent="0.15">
      <c r="A20" s="24" t="s">
        <v>430</v>
      </c>
      <c r="B20" s="116">
        <v>45049</v>
      </c>
      <c r="C20" s="117" t="s">
        <v>500</v>
      </c>
      <c r="D20" s="24" t="s">
        <v>505</v>
      </c>
      <c r="E20" s="24" t="s">
        <v>506</v>
      </c>
      <c r="F20" s="114">
        <v>420</v>
      </c>
      <c r="G20" s="114">
        <v>420</v>
      </c>
      <c r="H20" s="116">
        <v>45049</v>
      </c>
      <c r="I20" s="118" t="s">
        <v>174</v>
      </c>
    </row>
    <row r="21" spans="1:12" x14ac:dyDescent="0.15">
      <c r="A21" s="24" t="s">
        <v>430</v>
      </c>
      <c r="B21" s="116">
        <v>45049</v>
      </c>
      <c r="C21" s="117" t="s">
        <v>500</v>
      </c>
      <c r="D21" s="24" t="s">
        <v>507</v>
      </c>
      <c r="E21" s="24" t="s">
        <v>508</v>
      </c>
      <c r="F21" s="114">
        <v>55</v>
      </c>
      <c r="G21" s="114">
        <v>55</v>
      </c>
      <c r="H21" s="116">
        <v>45049</v>
      </c>
      <c r="I21" s="118" t="s">
        <v>174</v>
      </c>
    </row>
    <row r="22" spans="1:12" x14ac:dyDescent="0.15">
      <c r="A22" s="24" t="s">
        <v>430</v>
      </c>
      <c r="B22" s="116">
        <v>45047</v>
      </c>
      <c r="C22" s="117" t="s">
        <v>500</v>
      </c>
      <c r="D22" s="24" t="s">
        <v>509</v>
      </c>
      <c r="E22" s="24" t="s">
        <v>510</v>
      </c>
      <c r="F22" s="114">
        <v>110</v>
      </c>
      <c r="G22" s="114">
        <v>110</v>
      </c>
      <c r="H22" s="116">
        <v>45047</v>
      </c>
      <c r="I22" s="118" t="s">
        <v>174</v>
      </c>
    </row>
    <row r="23" spans="1:12" x14ac:dyDescent="0.15">
      <c r="A23" s="24" t="s">
        <v>430</v>
      </c>
      <c r="B23" s="120">
        <v>45047</v>
      </c>
      <c r="C23" s="117" t="s">
        <v>500</v>
      </c>
      <c r="D23" s="119" t="s">
        <v>511</v>
      </c>
      <c r="E23" s="119" t="s">
        <v>512</v>
      </c>
      <c r="F23" s="122">
        <v>1</v>
      </c>
      <c r="G23" s="122">
        <v>1</v>
      </c>
      <c r="H23" s="120">
        <v>45047</v>
      </c>
      <c r="I23" s="123" t="s">
        <v>174</v>
      </c>
      <c r="J23" s="119"/>
    </row>
    <row r="24" spans="1:12" ht="12" x14ac:dyDescent="0.2">
      <c r="A24" s="24" t="s">
        <v>430</v>
      </c>
      <c r="B24" s="125">
        <v>45047</v>
      </c>
      <c r="C24" s="124"/>
      <c r="D24" s="126" t="s">
        <v>264</v>
      </c>
      <c r="E24" s="126" t="s">
        <v>115</v>
      </c>
      <c r="F24" s="127">
        <f>$K$16/$C17/60*$F17*3</f>
        <v>119.6875</v>
      </c>
      <c r="G24" s="127">
        <f>$K$16/$C17/60*$F17*3</f>
        <v>119.6875</v>
      </c>
      <c r="H24" s="125">
        <v>45047</v>
      </c>
      <c r="I24" s="128" t="s">
        <v>174</v>
      </c>
      <c r="J24" s="124"/>
    </row>
    <row r="25" spans="1:12" ht="12" x14ac:dyDescent="0.2">
      <c r="A25" s="24" t="s">
        <v>430</v>
      </c>
      <c r="B25" s="125">
        <v>45047</v>
      </c>
      <c r="C25" s="124"/>
      <c r="D25" s="126" t="s">
        <v>266</v>
      </c>
      <c r="E25" s="126" t="s">
        <v>211</v>
      </c>
      <c r="F25" s="127">
        <f>$K$16/$C18/60*$F18</f>
        <v>383</v>
      </c>
      <c r="G25" s="127">
        <f>$K$16/$C18/60*$F18</f>
        <v>383</v>
      </c>
      <c r="H25" s="125">
        <v>45047</v>
      </c>
      <c r="I25" s="128" t="s">
        <v>174</v>
      </c>
      <c r="J25" s="124"/>
    </row>
    <row r="26" spans="1:12" ht="12" x14ac:dyDescent="0.2">
      <c r="A26" s="24" t="s">
        <v>430</v>
      </c>
      <c r="B26" s="125">
        <v>45047</v>
      </c>
      <c r="C26" s="124"/>
      <c r="D26" s="126" t="s">
        <v>266</v>
      </c>
      <c r="E26" s="126" t="s">
        <v>211</v>
      </c>
      <c r="F26" s="127">
        <f>$K$16/$C19/60*$F19</f>
        <v>-95.75</v>
      </c>
      <c r="G26" s="127">
        <f>$K$16/$C19/60*$F19</f>
        <v>-95.75</v>
      </c>
      <c r="H26" s="125">
        <v>45047</v>
      </c>
      <c r="I26" s="128" t="s">
        <v>174</v>
      </c>
      <c r="J26" s="124"/>
    </row>
    <row r="27" spans="1:12" ht="12" x14ac:dyDescent="0.2">
      <c r="A27" s="24" t="s">
        <v>430</v>
      </c>
      <c r="B27" s="125">
        <v>45049</v>
      </c>
      <c r="C27" s="124"/>
      <c r="D27" s="130" t="s">
        <v>284</v>
      </c>
      <c r="E27" s="130" t="s">
        <v>117</v>
      </c>
      <c r="F27" s="127">
        <f>$K$16/$C20/60*$F20</f>
        <v>335.125</v>
      </c>
      <c r="G27" s="127">
        <f t="shared" ref="G27" si="2">$K$16/$C20/60*$F20</f>
        <v>335.125</v>
      </c>
      <c r="H27" s="125">
        <v>45049</v>
      </c>
      <c r="I27" s="128" t="s">
        <v>174</v>
      </c>
      <c r="J27" s="124"/>
    </row>
    <row r="28" spans="1:12" ht="12" x14ac:dyDescent="0.2">
      <c r="A28" s="24" t="s">
        <v>430</v>
      </c>
      <c r="B28" s="125">
        <v>45049</v>
      </c>
      <c r="C28" s="124"/>
      <c r="D28" s="130" t="s">
        <v>513</v>
      </c>
      <c r="E28" s="130" t="s">
        <v>514</v>
      </c>
      <c r="F28" s="127">
        <f>F21</f>
        <v>55</v>
      </c>
      <c r="G28" s="127">
        <f>G21</f>
        <v>55</v>
      </c>
      <c r="H28" s="125">
        <v>45049</v>
      </c>
      <c r="I28" s="128" t="s">
        <v>174</v>
      </c>
      <c r="J28" s="124"/>
    </row>
    <row r="29" spans="1:12" ht="12" x14ac:dyDescent="0.2">
      <c r="A29" s="24" t="s">
        <v>430</v>
      </c>
      <c r="B29" s="125">
        <v>45047</v>
      </c>
      <c r="C29" s="124"/>
      <c r="D29" s="130" t="s">
        <v>515</v>
      </c>
      <c r="E29" s="130" t="s">
        <v>516</v>
      </c>
      <c r="F29" s="127">
        <f t="shared" ref="F29:G30" si="3">F22</f>
        <v>110</v>
      </c>
      <c r="G29" s="127">
        <f t="shared" si="3"/>
        <v>110</v>
      </c>
      <c r="H29" s="125">
        <v>45047</v>
      </c>
      <c r="I29" s="128" t="s">
        <v>174</v>
      </c>
      <c r="J29" s="124"/>
    </row>
    <row r="30" spans="1:12" ht="12" x14ac:dyDescent="0.2">
      <c r="A30" s="24" t="s">
        <v>430</v>
      </c>
      <c r="B30" s="132">
        <v>45047</v>
      </c>
      <c r="C30" s="131"/>
      <c r="D30" s="133" t="s">
        <v>517</v>
      </c>
      <c r="E30" s="133" t="s">
        <v>518</v>
      </c>
      <c r="F30" s="127">
        <f t="shared" si="3"/>
        <v>1</v>
      </c>
      <c r="G30" s="127">
        <f t="shared" si="3"/>
        <v>1</v>
      </c>
      <c r="H30" s="132">
        <v>45047</v>
      </c>
      <c r="I30" s="135" t="s">
        <v>174</v>
      </c>
      <c r="J30" s="131"/>
    </row>
    <row r="31" spans="1:12" ht="12.75" x14ac:dyDescent="0.2">
      <c r="A31" s="24" t="s">
        <v>468</v>
      </c>
      <c r="B31" s="24" t="s">
        <v>469</v>
      </c>
      <c r="C31" s="24" t="s">
        <v>470</v>
      </c>
      <c r="D31" s="24" t="s">
        <v>471</v>
      </c>
      <c r="E31" s="24" t="s">
        <v>472</v>
      </c>
      <c r="F31" s="114" t="s">
        <v>473</v>
      </c>
      <c r="G31" s="114" t="s">
        <v>474</v>
      </c>
      <c r="H31" s="24" t="s">
        <v>475</v>
      </c>
      <c r="I31" s="24" t="s">
        <v>476</v>
      </c>
      <c r="J31" s="24" t="s">
        <v>477</v>
      </c>
      <c r="K31" s="136">
        <v>75</v>
      </c>
      <c r="L31" s="115" t="s">
        <v>519</v>
      </c>
    </row>
    <row r="32" spans="1:12" x14ac:dyDescent="0.15">
      <c r="A32" s="24" t="s">
        <v>438</v>
      </c>
      <c r="B32" s="116">
        <v>45047</v>
      </c>
      <c r="C32" s="117" t="s">
        <v>520</v>
      </c>
      <c r="D32" s="24" t="s">
        <v>263</v>
      </c>
      <c r="E32" s="24" t="s">
        <v>111</v>
      </c>
      <c r="F32" s="114">
        <v>180</v>
      </c>
      <c r="G32" s="114">
        <v>180</v>
      </c>
      <c r="H32" s="24">
        <v>45047</v>
      </c>
      <c r="I32" s="118" t="s">
        <v>174</v>
      </c>
    </row>
    <row r="33" spans="1:10" x14ac:dyDescent="0.15">
      <c r="A33" s="24" t="s">
        <v>438</v>
      </c>
      <c r="B33" s="116">
        <v>45047</v>
      </c>
      <c r="C33" s="117" t="s">
        <v>520</v>
      </c>
      <c r="D33" s="24" t="s">
        <v>503</v>
      </c>
      <c r="E33" s="24" t="s">
        <v>504</v>
      </c>
      <c r="F33" s="114">
        <v>450</v>
      </c>
      <c r="G33" s="114">
        <v>450</v>
      </c>
      <c r="H33" s="116">
        <v>45047</v>
      </c>
      <c r="I33" s="118" t="s">
        <v>174</v>
      </c>
    </row>
    <row r="34" spans="1:10" x14ac:dyDescent="0.15">
      <c r="A34" s="24" t="s">
        <v>438</v>
      </c>
      <c r="B34" s="116">
        <v>45047</v>
      </c>
      <c r="C34" s="117" t="s">
        <v>520</v>
      </c>
      <c r="D34" s="24" t="s">
        <v>503</v>
      </c>
      <c r="E34" s="24" t="s">
        <v>504</v>
      </c>
      <c r="F34" s="114">
        <v>-30</v>
      </c>
      <c r="G34" s="114">
        <v>-30</v>
      </c>
      <c r="H34" s="116">
        <v>45047</v>
      </c>
      <c r="I34" s="118" t="s">
        <v>174</v>
      </c>
    </row>
    <row r="35" spans="1:10" x14ac:dyDescent="0.15">
      <c r="A35" s="24" t="s">
        <v>438</v>
      </c>
      <c r="B35" s="116">
        <v>45049</v>
      </c>
      <c r="C35" s="117" t="s">
        <v>520</v>
      </c>
      <c r="D35" s="24" t="s">
        <v>521</v>
      </c>
      <c r="E35" s="24" t="s">
        <v>522</v>
      </c>
      <c r="F35" s="114">
        <v>63</v>
      </c>
      <c r="G35" s="114">
        <v>63</v>
      </c>
      <c r="H35" s="116">
        <v>45049</v>
      </c>
      <c r="I35" s="118" t="s">
        <v>174</v>
      </c>
    </row>
    <row r="36" spans="1:10" x14ac:dyDescent="0.15">
      <c r="A36" s="24" t="s">
        <v>438</v>
      </c>
      <c r="B36" s="116">
        <v>45047</v>
      </c>
      <c r="C36" s="117" t="s">
        <v>520</v>
      </c>
      <c r="D36" s="24" t="s">
        <v>523</v>
      </c>
      <c r="E36" s="24" t="s">
        <v>524</v>
      </c>
      <c r="F36" s="114">
        <v>85</v>
      </c>
      <c r="G36" s="114">
        <v>85</v>
      </c>
      <c r="H36" s="116">
        <v>45047</v>
      </c>
      <c r="I36" s="118" t="s">
        <v>174</v>
      </c>
    </row>
    <row r="37" spans="1:10" ht="12" x14ac:dyDescent="0.2">
      <c r="A37" s="24" t="s">
        <v>438</v>
      </c>
      <c r="B37" s="125">
        <v>45047</v>
      </c>
      <c r="C37" s="124"/>
      <c r="D37" s="126" t="s">
        <v>263</v>
      </c>
      <c r="E37" s="126" t="s">
        <v>111</v>
      </c>
      <c r="F37" s="127">
        <f>$K$31/60*$F32*2</f>
        <v>450</v>
      </c>
      <c r="G37" s="127">
        <f>$K$31/60*$F32*2</f>
        <v>450</v>
      </c>
      <c r="H37" s="125">
        <v>45047</v>
      </c>
      <c r="I37" s="128" t="s">
        <v>174</v>
      </c>
      <c r="J37" s="124"/>
    </row>
    <row r="38" spans="1:10" ht="12" x14ac:dyDescent="0.2">
      <c r="A38" s="24" t="s">
        <v>438</v>
      </c>
      <c r="B38" s="125">
        <v>45047</v>
      </c>
      <c r="C38" s="124"/>
      <c r="D38" s="126" t="s">
        <v>266</v>
      </c>
      <c r="E38" s="126" t="s">
        <v>211</v>
      </c>
      <c r="F38" s="127">
        <f>$K$31/60*$F33</f>
        <v>562.5</v>
      </c>
      <c r="G38" s="127">
        <f>$K$31/60*$F33</f>
        <v>562.5</v>
      </c>
      <c r="H38" s="125">
        <v>45047</v>
      </c>
      <c r="I38" s="128" t="s">
        <v>174</v>
      </c>
      <c r="J38" s="124"/>
    </row>
    <row r="39" spans="1:10" ht="12" x14ac:dyDescent="0.2">
      <c r="A39" s="24" t="s">
        <v>438</v>
      </c>
      <c r="B39" s="125">
        <v>45047</v>
      </c>
      <c r="C39" s="124"/>
      <c r="D39" s="126" t="s">
        <v>266</v>
      </c>
      <c r="E39" s="126" t="s">
        <v>211</v>
      </c>
      <c r="F39" s="127">
        <f>$K$31/60*$F34</f>
        <v>-37.5</v>
      </c>
      <c r="G39" s="127">
        <f>$K$31/60*$F34</f>
        <v>-37.5</v>
      </c>
      <c r="H39" s="125">
        <v>45047</v>
      </c>
      <c r="I39" s="128" t="s">
        <v>174</v>
      </c>
      <c r="J39" s="124"/>
    </row>
    <row r="40" spans="1:10" ht="12" x14ac:dyDescent="0.2">
      <c r="A40" s="24" t="s">
        <v>438</v>
      </c>
      <c r="B40" s="125">
        <v>45049</v>
      </c>
      <c r="C40" s="124"/>
      <c r="D40" s="130" t="s">
        <v>525</v>
      </c>
      <c r="E40" s="130" t="s">
        <v>522</v>
      </c>
      <c r="F40" s="127">
        <f>F35</f>
        <v>63</v>
      </c>
      <c r="G40" s="127">
        <f>G35</f>
        <v>63</v>
      </c>
      <c r="H40" s="125">
        <v>45049</v>
      </c>
      <c r="I40" s="128" t="s">
        <v>174</v>
      </c>
      <c r="J40" s="124"/>
    </row>
    <row r="41" spans="1:10" ht="12" x14ac:dyDescent="0.2">
      <c r="A41" s="24" t="s">
        <v>438</v>
      </c>
      <c r="B41" s="125">
        <v>45047</v>
      </c>
      <c r="C41" s="124"/>
      <c r="D41" s="130" t="s">
        <v>526</v>
      </c>
      <c r="E41" s="130" t="s">
        <v>524</v>
      </c>
      <c r="F41" s="127">
        <f t="shared" ref="F41:G41" si="4">F36</f>
        <v>85</v>
      </c>
      <c r="G41" s="127">
        <f t="shared" si="4"/>
        <v>85</v>
      </c>
      <c r="H41" s="125">
        <v>45047</v>
      </c>
      <c r="I41" s="128" t="s">
        <v>174</v>
      </c>
      <c r="J41" s="124"/>
    </row>
  </sheetData>
  <autoFilter ref="A1:L41" xr:uid="{E3821098-04A8-4109-B7FA-E7D6371C5F54}"/>
  <phoneticPr fontId="13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AD3F-1A65-4F70-9581-80D4E1F950E9}">
  <dimension ref="A1:CN7"/>
  <sheetViews>
    <sheetView zoomScale="90" zoomScaleNormal="90" workbookViewId="0">
      <selection activeCell="CH11" sqref="CH11"/>
    </sheetView>
  </sheetViews>
  <sheetFormatPr defaultRowHeight="14.25" x14ac:dyDescent="0.2"/>
  <cols>
    <col min="1" max="1" width="10.25" bestFit="1" customWidth="1"/>
    <col min="2" max="2" width="7.375" bestFit="1" customWidth="1"/>
    <col min="3" max="3" width="5.25" bestFit="1" customWidth="1"/>
    <col min="4" max="4" width="8.125" bestFit="1" customWidth="1"/>
    <col min="5" max="5" width="7.75" bestFit="1" customWidth="1"/>
    <col min="6" max="6" width="7.5" bestFit="1" customWidth="1"/>
    <col min="7" max="7" width="10.375" bestFit="1" customWidth="1"/>
    <col min="8" max="8" width="10" bestFit="1" customWidth="1"/>
    <col min="9" max="9" width="6.5" bestFit="1" customWidth="1"/>
    <col min="10" max="11" width="9.125" bestFit="1" customWidth="1"/>
    <col min="12" max="12" width="10.375" bestFit="1" customWidth="1"/>
    <col min="13" max="13" width="11.5" bestFit="1" customWidth="1"/>
    <col min="14" max="14" width="10.25" bestFit="1" customWidth="1"/>
    <col min="15" max="15" width="10.125" bestFit="1" customWidth="1"/>
    <col min="16" max="16" width="7.75" bestFit="1" customWidth="1"/>
    <col min="17" max="17" width="7.625" bestFit="1" customWidth="1"/>
    <col min="18" max="18" width="13.75" bestFit="1" customWidth="1"/>
    <col min="19" max="19" width="9.875" bestFit="1" customWidth="1"/>
    <col min="20" max="20" width="7.75" bestFit="1" customWidth="1"/>
    <col min="21" max="21" width="13.875" bestFit="1" customWidth="1"/>
    <col min="22" max="22" width="12.125" bestFit="1" customWidth="1"/>
    <col min="23" max="23" width="22.375" bestFit="1" customWidth="1"/>
    <col min="24" max="24" width="25.625" bestFit="1" customWidth="1"/>
    <col min="25" max="25" width="13.875" bestFit="1" customWidth="1"/>
    <col min="26" max="26" width="33.125" bestFit="1" customWidth="1"/>
    <col min="27" max="27" width="10.125" bestFit="1" customWidth="1"/>
    <col min="28" max="28" width="8" bestFit="1" customWidth="1"/>
    <col min="29" max="29" width="9.875" bestFit="1" customWidth="1"/>
    <col min="30" max="31" width="10.875" bestFit="1" customWidth="1"/>
    <col min="32" max="32" width="13.125" bestFit="1" customWidth="1"/>
    <col min="33" max="33" width="14" bestFit="1" customWidth="1"/>
    <col min="34" max="34" width="11.75" bestFit="1" customWidth="1"/>
    <col min="35" max="35" width="12.375" bestFit="1" customWidth="1"/>
    <col min="36" max="36" width="10.125" bestFit="1" customWidth="1"/>
    <col min="37" max="37" width="11.125" bestFit="1" customWidth="1"/>
    <col min="38" max="38" width="13.125" bestFit="1" customWidth="1"/>
    <col min="39" max="39" width="14" bestFit="1" customWidth="1"/>
    <col min="40" max="40" width="11.5" bestFit="1" customWidth="1"/>
    <col min="41" max="41" width="12.125" bestFit="1" customWidth="1"/>
    <col min="42" max="42" width="14.375" bestFit="1" customWidth="1"/>
    <col min="43" max="43" width="8.125" bestFit="1" customWidth="1"/>
    <col min="44" max="44" width="19" bestFit="1" customWidth="1"/>
    <col min="45" max="45" width="19.625" bestFit="1" customWidth="1"/>
    <col min="46" max="46" width="21.875" bestFit="1" customWidth="1"/>
    <col min="47" max="47" width="11.625" bestFit="1" customWidth="1"/>
    <col min="48" max="48" width="12.25" bestFit="1" customWidth="1"/>
    <col min="49" max="49" width="16.75" bestFit="1" customWidth="1"/>
    <col min="50" max="50" width="17.375" bestFit="1" customWidth="1"/>
    <col min="51" max="51" width="17.625" bestFit="1" customWidth="1"/>
    <col min="52" max="52" width="37.5" bestFit="1" customWidth="1"/>
    <col min="53" max="53" width="7.375" bestFit="1" customWidth="1"/>
    <col min="54" max="54" width="7.875" bestFit="1" customWidth="1"/>
    <col min="55" max="55" width="9.625" bestFit="1" customWidth="1"/>
    <col min="56" max="56" width="6.625" bestFit="1" customWidth="1"/>
    <col min="57" max="57" width="8.125" bestFit="1" customWidth="1"/>
    <col min="58" max="58" width="12.5" bestFit="1" customWidth="1"/>
    <col min="59" max="59" width="12.75" bestFit="1" customWidth="1"/>
    <col min="60" max="60" width="13.125" bestFit="1" customWidth="1"/>
    <col min="61" max="61" width="12.125" bestFit="1" customWidth="1"/>
    <col min="62" max="62" width="12.375" bestFit="1" customWidth="1"/>
    <col min="63" max="63" width="11.5" bestFit="1" customWidth="1"/>
    <col min="64" max="64" width="17.875" bestFit="1" customWidth="1"/>
    <col min="65" max="65" width="4.625" bestFit="1" customWidth="1"/>
    <col min="66" max="66" width="9.25" bestFit="1" customWidth="1"/>
    <col min="67" max="67" width="8.875" bestFit="1" customWidth="1"/>
    <col min="68" max="68" width="13.25" bestFit="1" customWidth="1"/>
    <col min="69" max="69" width="9.75" bestFit="1" customWidth="1"/>
    <col min="70" max="70" width="5.875" bestFit="1" customWidth="1"/>
    <col min="71" max="71" width="4.5" bestFit="1" customWidth="1"/>
    <col min="72" max="72" width="6.5" bestFit="1" customWidth="1"/>
    <col min="73" max="73" width="9.125" bestFit="1" customWidth="1"/>
    <col min="74" max="74" width="12.25" bestFit="1" customWidth="1"/>
    <col min="75" max="85" width="6.75" hidden="1" customWidth="1"/>
    <col min="86" max="86" width="9.625" bestFit="1" customWidth="1"/>
    <col min="87" max="87" width="7.25" bestFit="1" customWidth="1"/>
    <col min="88" max="88" width="9.75" bestFit="1" customWidth="1"/>
    <col min="89" max="89" width="6.75" bestFit="1" customWidth="1"/>
    <col min="90" max="90" width="7.125" bestFit="1" customWidth="1"/>
    <col min="91" max="91" width="9.125" bestFit="1" customWidth="1"/>
    <col min="92" max="92" width="9.375" bestFit="1" customWidth="1"/>
  </cols>
  <sheetData>
    <row r="1" spans="1:92" s="83" customFormat="1" ht="11.25" x14ac:dyDescent="0.2">
      <c r="A1" s="77" t="s">
        <v>302</v>
      </c>
      <c r="B1" s="77" t="s">
        <v>303</v>
      </c>
      <c r="C1" s="77" t="s">
        <v>304</v>
      </c>
      <c r="D1" s="77" t="s">
        <v>305</v>
      </c>
      <c r="E1" s="77" t="s">
        <v>306</v>
      </c>
      <c r="F1" s="77" t="s">
        <v>307</v>
      </c>
      <c r="G1" s="77" t="s">
        <v>308</v>
      </c>
      <c r="H1" s="77" t="s">
        <v>309</v>
      </c>
      <c r="I1" s="77" t="s">
        <v>310</v>
      </c>
      <c r="J1" s="77" t="s">
        <v>311</v>
      </c>
      <c r="K1" s="77" t="s">
        <v>312</v>
      </c>
      <c r="L1" s="77" t="s">
        <v>313</v>
      </c>
      <c r="M1" s="77" t="s">
        <v>314</v>
      </c>
      <c r="N1" s="78" t="s">
        <v>315</v>
      </c>
      <c r="O1" s="77" t="s">
        <v>316</v>
      </c>
      <c r="P1" s="77" t="s">
        <v>317</v>
      </c>
      <c r="Q1" s="77" t="s">
        <v>318</v>
      </c>
      <c r="R1" s="77" t="s">
        <v>319</v>
      </c>
      <c r="S1" s="77" t="s">
        <v>320</v>
      </c>
      <c r="T1" s="79" t="s">
        <v>321</v>
      </c>
      <c r="U1" s="79" t="s">
        <v>322</v>
      </c>
      <c r="V1" s="80" t="s">
        <v>323</v>
      </c>
      <c r="W1" s="81" t="s">
        <v>324</v>
      </c>
      <c r="X1" s="81" t="s">
        <v>325</v>
      </c>
      <c r="Y1" s="82" t="s">
        <v>326</v>
      </c>
      <c r="Z1" s="81" t="s">
        <v>327</v>
      </c>
      <c r="AA1" s="81" t="s">
        <v>328</v>
      </c>
      <c r="AB1" s="82" t="s">
        <v>329</v>
      </c>
      <c r="AC1" s="81" t="s">
        <v>330</v>
      </c>
      <c r="AD1" s="81" t="s">
        <v>331</v>
      </c>
      <c r="AE1" s="80" t="s">
        <v>332</v>
      </c>
      <c r="AF1" s="81" t="s">
        <v>333</v>
      </c>
      <c r="AG1" s="81" t="s">
        <v>334</v>
      </c>
      <c r="AH1" s="83" t="s">
        <v>335</v>
      </c>
      <c r="AI1" s="81" t="s">
        <v>336</v>
      </c>
      <c r="AJ1" s="81" t="s">
        <v>337</v>
      </c>
      <c r="AK1" s="82" t="s">
        <v>338</v>
      </c>
      <c r="AL1" s="81" t="s">
        <v>339</v>
      </c>
      <c r="AM1" s="81" t="s">
        <v>340</v>
      </c>
      <c r="AN1" s="82" t="s">
        <v>341</v>
      </c>
      <c r="AO1" s="81" t="s">
        <v>342</v>
      </c>
      <c r="AP1" s="81" t="s">
        <v>343</v>
      </c>
      <c r="AQ1" s="82" t="s">
        <v>344</v>
      </c>
      <c r="AR1" s="82" t="s">
        <v>345</v>
      </c>
      <c r="AS1" s="81" t="s">
        <v>346</v>
      </c>
      <c r="AT1" s="81" t="s">
        <v>347</v>
      </c>
      <c r="AU1" s="82" t="s">
        <v>348</v>
      </c>
      <c r="AV1" s="81" t="s">
        <v>349</v>
      </c>
      <c r="AW1" s="82" t="s">
        <v>350</v>
      </c>
      <c r="AX1" s="81" t="s">
        <v>351</v>
      </c>
      <c r="AY1" s="82" t="s">
        <v>352</v>
      </c>
      <c r="AZ1" s="84" t="s">
        <v>353</v>
      </c>
      <c r="BA1" s="85" t="s">
        <v>354</v>
      </c>
      <c r="BB1" s="82" t="s">
        <v>355</v>
      </c>
      <c r="BC1" s="86" t="s">
        <v>356</v>
      </c>
      <c r="BD1" s="86" t="s">
        <v>357</v>
      </c>
      <c r="BE1" s="77" t="s">
        <v>358</v>
      </c>
      <c r="BF1" s="77" t="s">
        <v>359</v>
      </c>
      <c r="BG1" s="82" t="s">
        <v>360</v>
      </c>
      <c r="BH1" s="84" t="s">
        <v>361</v>
      </c>
      <c r="BI1" s="82" t="s">
        <v>362</v>
      </c>
      <c r="BJ1" s="84" t="s">
        <v>363</v>
      </c>
      <c r="BK1" s="82" t="s">
        <v>364</v>
      </c>
      <c r="BL1" s="84" t="s">
        <v>365</v>
      </c>
      <c r="BM1" s="82" t="s">
        <v>172</v>
      </c>
      <c r="BN1" s="77" t="s">
        <v>366</v>
      </c>
      <c r="BO1" s="77" t="s">
        <v>367</v>
      </c>
      <c r="BP1" s="77" t="s">
        <v>368</v>
      </c>
      <c r="BQ1" s="77" t="s">
        <v>369</v>
      </c>
      <c r="BR1" s="77" t="s">
        <v>370</v>
      </c>
      <c r="BS1" s="84" t="s">
        <v>371</v>
      </c>
      <c r="BT1" s="77" t="s">
        <v>372</v>
      </c>
      <c r="BU1" s="77" t="s">
        <v>373</v>
      </c>
      <c r="BV1" s="87" t="s">
        <v>374</v>
      </c>
      <c r="BW1" s="88" t="s">
        <v>375</v>
      </c>
      <c r="BX1" s="89" t="s">
        <v>376</v>
      </c>
      <c r="BY1" s="90" t="s">
        <v>377</v>
      </c>
      <c r="BZ1" s="90" t="s">
        <v>378</v>
      </c>
      <c r="CA1" s="90" t="s">
        <v>379</v>
      </c>
      <c r="CB1" s="91" t="s">
        <v>380</v>
      </c>
      <c r="CC1" s="91" t="s">
        <v>381</v>
      </c>
      <c r="CD1" s="83" t="s">
        <v>382</v>
      </c>
      <c r="CE1" s="83" t="s">
        <v>383</v>
      </c>
      <c r="CF1" s="83" t="s">
        <v>384</v>
      </c>
      <c r="CG1" s="83" t="s">
        <v>385</v>
      </c>
      <c r="CH1" s="77" t="s">
        <v>386</v>
      </c>
      <c r="CI1" s="77" t="s">
        <v>387</v>
      </c>
      <c r="CJ1" s="77" t="s">
        <v>388</v>
      </c>
      <c r="CK1" s="92" t="s">
        <v>389</v>
      </c>
      <c r="CL1" s="92" t="s">
        <v>390</v>
      </c>
      <c r="CM1" s="80" t="s">
        <v>391</v>
      </c>
      <c r="CN1" s="82" t="s">
        <v>392</v>
      </c>
    </row>
    <row r="2" spans="1:92" s="106" customFormat="1" ht="13.5" thickBot="1" x14ac:dyDescent="0.25">
      <c r="A2" s="93" t="s">
        <v>439</v>
      </c>
      <c r="B2" s="93" t="s">
        <v>439</v>
      </c>
      <c r="C2" s="94" t="s">
        <v>394</v>
      </c>
      <c r="D2" s="95" t="s">
        <v>444</v>
      </c>
      <c r="E2" s="93" t="s">
        <v>395</v>
      </c>
      <c r="F2" s="94" t="s">
        <v>396</v>
      </c>
      <c r="G2" s="95" t="s">
        <v>444</v>
      </c>
      <c r="H2" s="93" t="s">
        <v>395</v>
      </c>
      <c r="I2" s="94" t="s">
        <v>397</v>
      </c>
      <c r="J2" s="96">
        <v>22005</v>
      </c>
      <c r="K2" s="96">
        <v>30728</v>
      </c>
      <c r="L2" s="96">
        <v>30728</v>
      </c>
      <c r="M2" s="96">
        <v>30728</v>
      </c>
      <c r="N2" s="96"/>
      <c r="O2" s="96">
        <v>44197</v>
      </c>
      <c r="P2" s="97" t="s">
        <v>398</v>
      </c>
      <c r="Q2" s="97" t="s">
        <v>397</v>
      </c>
      <c r="R2" s="96">
        <v>30728</v>
      </c>
      <c r="S2" s="98" t="s">
        <v>173</v>
      </c>
      <c r="T2" s="94"/>
      <c r="U2" s="94"/>
      <c r="V2" s="99" t="s">
        <v>399</v>
      </c>
      <c r="W2" s="100" t="s">
        <v>175</v>
      </c>
      <c r="X2" s="94" t="s">
        <v>400</v>
      </c>
      <c r="Y2" s="101" t="s">
        <v>401</v>
      </c>
      <c r="Z2" s="94" t="s">
        <v>175</v>
      </c>
      <c r="AA2" s="94"/>
      <c r="AB2" s="101" t="s">
        <v>174</v>
      </c>
      <c r="AC2" s="94" t="s">
        <v>402</v>
      </c>
      <c r="AD2" s="94" t="s">
        <v>403</v>
      </c>
      <c r="AE2" s="101" t="s">
        <v>174</v>
      </c>
      <c r="AF2" s="94" t="s">
        <v>404</v>
      </c>
      <c r="AG2" s="94" t="s">
        <v>405</v>
      </c>
      <c r="AH2" s="101" t="s">
        <v>174</v>
      </c>
      <c r="AI2" s="94" t="s">
        <v>406</v>
      </c>
      <c r="AJ2" s="94" t="s">
        <v>407</v>
      </c>
      <c r="AK2" s="101" t="s">
        <v>174</v>
      </c>
      <c r="AL2" s="94" t="s">
        <v>404</v>
      </c>
      <c r="AM2" s="94" t="s">
        <v>405</v>
      </c>
      <c r="AN2" s="101" t="s">
        <v>174</v>
      </c>
      <c r="AO2" s="94" t="s">
        <v>406</v>
      </c>
      <c r="AP2" s="94" t="s">
        <v>407</v>
      </c>
      <c r="AQ2" s="94">
        <v>10</v>
      </c>
      <c r="AR2" s="94" t="s">
        <v>408</v>
      </c>
      <c r="AS2" s="94"/>
      <c r="AT2" s="94"/>
      <c r="AU2" s="94" t="s">
        <v>397</v>
      </c>
      <c r="AV2" s="94"/>
      <c r="AW2" s="94" t="s">
        <v>409</v>
      </c>
      <c r="AX2" s="94" t="s">
        <v>410</v>
      </c>
      <c r="AY2" s="101" t="s">
        <v>174</v>
      </c>
      <c r="AZ2" s="94" t="s">
        <v>411</v>
      </c>
      <c r="BA2" s="102" t="s">
        <v>412</v>
      </c>
      <c r="BB2" s="94" t="s">
        <v>397</v>
      </c>
      <c r="BC2" s="103">
        <v>1354024261</v>
      </c>
      <c r="BD2" s="103"/>
      <c r="BE2" s="94"/>
      <c r="BF2" s="93" t="s">
        <v>458</v>
      </c>
      <c r="BG2" s="101" t="s">
        <v>174</v>
      </c>
      <c r="BH2" s="94" t="s">
        <v>414</v>
      </c>
      <c r="BI2" s="94" t="s">
        <v>397</v>
      </c>
      <c r="BJ2" s="94" t="s">
        <v>92</v>
      </c>
      <c r="BK2" s="101" t="s">
        <v>174</v>
      </c>
      <c r="BL2" s="94" t="s">
        <v>415</v>
      </c>
      <c r="BM2" s="104" t="s">
        <v>416</v>
      </c>
      <c r="BN2" s="94" t="s">
        <v>417</v>
      </c>
      <c r="BO2" s="94" t="s">
        <v>417</v>
      </c>
      <c r="BP2" s="105" t="s">
        <v>418</v>
      </c>
      <c r="BQ2" s="105" t="s">
        <v>419</v>
      </c>
      <c r="BR2" s="94" t="s">
        <v>420</v>
      </c>
      <c r="BT2" s="94" t="s">
        <v>421</v>
      </c>
      <c r="BU2" s="94">
        <v>0</v>
      </c>
      <c r="BV2" s="107" t="s">
        <v>463</v>
      </c>
      <c r="BW2" s="97"/>
      <c r="BX2" s="108"/>
      <c r="BY2" s="94"/>
      <c r="BZ2" s="94"/>
      <c r="CA2" s="94"/>
      <c r="CB2" s="94"/>
      <c r="CC2" s="109"/>
      <c r="CD2" s="94"/>
      <c r="CE2" s="94"/>
      <c r="CF2" s="94"/>
      <c r="CG2" s="94"/>
      <c r="CH2" s="94" t="s">
        <v>419</v>
      </c>
      <c r="CI2" s="101" t="s">
        <v>174</v>
      </c>
      <c r="CJ2" s="101" t="s">
        <v>173</v>
      </c>
      <c r="CK2" s="93" t="s">
        <v>422</v>
      </c>
      <c r="CL2" s="94"/>
      <c r="CM2" s="101" t="s">
        <v>174</v>
      </c>
      <c r="CN2" s="101" t="s">
        <v>174</v>
      </c>
    </row>
    <row r="3" spans="1:92" s="110" customFormat="1" ht="13.5" thickTop="1" x14ac:dyDescent="0.2">
      <c r="A3" s="93" t="s">
        <v>440</v>
      </c>
      <c r="B3" s="93" t="s">
        <v>440</v>
      </c>
      <c r="C3" s="94" t="s">
        <v>394</v>
      </c>
      <c r="D3" s="95" t="s">
        <v>444</v>
      </c>
      <c r="E3" s="93" t="s">
        <v>424</v>
      </c>
      <c r="F3" s="94" t="s">
        <v>396</v>
      </c>
      <c r="G3" s="95" t="s">
        <v>444</v>
      </c>
      <c r="H3" s="93" t="s">
        <v>424</v>
      </c>
      <c r="I3" s="94" t="s">
        <v>397</v>
      </c>
      <c r="J3" s="96">
        <v>27662</v>
      </c>
      <c r="K3" s="96">
        <v>35247</v>
      </c>
      <c r="L3" s="96">
        <v>35247</v>
      </c>
      <c r="M3" s="96">
        <v>35247</v>
      </c>
      <c r="O3" s="96">
        <v>44228</v>
      </c>
      <c r="P3" s="97" t="s">
        <v>398</v>
      </c>
      <c r="Q3" s="97" t="s">
        <v>397</v>
      </c>
      <c r="R3" s="96">
        <v>35247</v>
      </c>
      <c r="S3" s="98" t="s">
        <v>173</v>
      </c>
      <c r="V3" s="110" t="s">
        <v>425</v>
      </c>
      <c r="W3" s="110" t="s">
        <v>176</v>
      </c>
      <c r="X3" s="110" t="s">
        <v>426</v>
      </c>
      <c r="Y3" s="110" t="s">
        <v>427</v>
      </c>
      <c r="Z3" s="110" t="s">
        <v>428</v>
      </c>
      <c r="AB3" s="101" t="s">
        <v>174</v>
      </c>
      <c r="AC3" s="94" t="s">
        <v>402</v>
      </c>
      <c r="AD3" s="94" t="s">
        <v>403</v>
      </c>
      <c r="AE3" s="101" t="s">
        <v>174</v>
      </c>
      <c r="AF3" s="94" t="s">
        <v>404</v>
      </c>
      <c r="AG3" s="94" t="s">
        <v>405</v>
      </c>
      <c r="AH3" s="101" t="s">
        <v>174</v>
      </c>
      <c r="AI3" s="94" t="s">
        <v>406</v>
      </c>
      <c r="AJ3" s="94" t="s">
        <v>407</v>
      </c>
      <c r="AK3" s="101" t="s">
        <v>174</v>
      </c>
      <c r="AL3" s="94" t="s">
        <v>404</v>
      </c>
      <c r="AM3" s="94" t="s">
        <v>405</v>
      </c>
      <c r="AN3" s="101" t="s">
        <v>174</v>
      </c>
      <c r="AO3" s="94" t="s">
        <v>406</v>
      </c>
      <c r="AP3" s="94" t="s">
        <v>407</v>
      </c>
      <c r="AQ3" s="94">
        <v>11</v>
      </c>
      <c r="AR3" s="94" t="s">
        <v>408</v>
      </c>
      <c r="AS3" s="94"/>
      <c r="AT3" s="94"/>
      <c r="AU3" s="94" t="s">
        <v>417</v>
      </c>
      <c r="AV3" s="94"/>
      <c r="AW3" s="94" t="s">
        <v>409</v>
      </c>
      <c r="AX3" s="94" t="s">
        <v>410</v>
      </c>
      <c r="AY3" s="101" t="s">
        <v>174</v>
      </c>
      <c r="AZ3" s="94" t="s">
        <v>411</v>
      </c>
      <c r="BA3" s="111" t="s">
        <v>429</v>
      </c>
      <c r="BB3" s="94" t="s">
        <v>417</v>
      </c>
      <c r="BC3" s="103">
        <v>1354024262</v>
      </c>
      <c r="BD3" s="112"/>
      <c r="BF3" s="93" t="s">
        <v>459</v>
      </c>
      <c r="BG3" s="101" t="s">
        <v>174</v>
      </c>
      <c r="BH3" s="94" t="s">
        <v>414</v>
      </c>
      <c r="BI3" s="94" t="s">
        <v>417</v>
      </c>
      <c r="BJ3" s="94" t="s">
        <v>92</v>
      </c>
      <c r="BK3" s="101" t="s">
        <v>174</v>
      </c>
      <c r="BL3" s="94" t="s">
        <v>415</v>
      </c>
      <c r="BM3" s="104" t="s">
        <v>416</v>
      </c>
      <c r="BN3" s="94" t="s">
        <v>417</v>
      </c>
      <c r="BO3" s="94" t="s">
        <v>417</v>
      </c>
      <c r="BP3" s="105" t="s">
        <v>418</v>
      </c>
      <c r="BQ3" s="105" t="s">
        <v>419</v>
      </c>
      <c r="BR3" s="94" t="s">
        <v>420</v>
      </c>
      <c r="BS3" s="106"/>
      <c r="BT3" s="94" t="s">
        <v>421</v>
      </c>
      <c r="BU3" s="94">
        <v>0</v>
      </c>
      <c r="BV3" s="107" t="s">
        <v>464</v>
      </c>
      <c r="BX3" s="113"/>
      <c r="CH3" s="94" t="s">
        <v>419</v>
      </c>
      <c r="CI3" s="101" t="s">
        <v>174</v>
      </c>
      <c r="CJ3" s="101" t="s">
        <v>173</v>
      </c>
      <c r="CM3" s="101" t="s">
        <v>174</v>
      </c>
      <c r="CN3" s="101" t="s">
        <v>174</v>
      </c>
    </row>
    <row r="4" spans="1:92" s="110" customFormat="1" ht="13.5" thickBot="1" x14ac:dyDescent="0.25">
      <c r="A4" s="93" t="s">
        <v>441</v>
      </c>
      <c r="B4" s="93" t="s">
        <v>441</v>
      </c>
      <c r="C4" s="94" t="s">
        <v>394</v>
      </c>
      <c r="D4" s="95" t="s">
        <v>444</v>
      </c>
      <c r="E4" s="93" t="s">
        <v>432</v>
      </c>
      <c r="F4" s="94" t="s">
        <v>396</v>
      </c>
      <c r="G4" s="95" t="s">
        <v>444</v>
      </c>
      <c r="H4" s="93" t="s">
        <v>432</v>
      </c>
      <c r="I4" s="94" t="s">
        <v>397</v>
      </c>
      <c r="J4" s="96">
        <v>24114</v>
      </c>
      <c r="K4" s="96">
        <v>32552</v>
      </c>
      <c r="L4" s="96">
        <v>32552</v>
      </c>
      <c r="M4" s="96">
        <v>32552</v>
      </c>
      <c r="O4" s="96">
        <v>44256</v>
      </c>
      <c r="P4" s="97" t="s">
        <v>398</v>
      </c>
      <c r="Q4" s="97" t="s">
        <v>397</v>
      </c>
      <c r="R4" s="96">
        <v>32552</v>
      </c>
      <c r="S4" s="98" t="s">
        <v>173</v>
      </c>
      <c r="V4" s="99" t="s">
        <v>433</v>
      </c>
      <c r="W4" s="110" t="s">
        <v>177</v>
      </c>
      <c r="X4" s="110" t="s">
        <v>434</v>
      </c>
      <c r="Y4" s="101" t="s">
        <v>435</v>
      </c>
      <c r="Z4" s="110" t="s">
        <v>436</v>
      </c>
      <c r="AB4" s="101" t="s">
        <v>174</v>
      </c>
      <c r="AC4" s="94" t="s">
        <v>402</v>
      </c>
      <c r="AD4" s="94" t="s">
        <v>403</v>
      </c>
      <c r="AE4" s="101" t="s">
        <v>174</v>
      </c>
      <c r="AF4" s="94" t="s">
        <v>404</v>
      </c>
      <c r="AG4" s="94" t="s">
        <v>405</v>
      </c>
      <c r="AH4" s="101" t="s">
        <v>174</v>
      </c>
      <c r="AI4" s="94" t="s">
        <v>406</v>
      </c>
      <c r="AJ4" s="94" t="s">
        <v>407</v>
      </c>
      <c r="AK4" s="101" t="s">
        <v>174</v>
      </c>
      <c r="AL4" s="94" t="s">
        <v>404</v>
      </c>
      <c r="AM4" s="94" t="s">
        <v>405</v>
      </c>
      <c r="AN4" s="101" t="s">
        <v>174</v>
      </c>
      <c r="AO4" s="94" t="s">
        <v>406</v>
      </c>
      <c r="AP4" s="94" t="s">
        <v>407</v>
      </c>
      <c r="AQ4" s="94">
        <v>12</v>
      </c>
      <c r="AR4" s="94" t="s">
        <v>408</v>
      </c>
      <c r="AS4" s="94"/>
      <c r="AT4" s="94"/>
      <c r="AU4" s="94" t="s">
        <v>398</v>
      </c>
      <c r="AV4" s="94"/>
      <c r="AW4" s="94" t="s">
        <v>409</v>
      </c>
      <c r="AX4" s="94" t="s">
        <v>410</v>
      </c>
      <c r="AY4" s="101" t="s">
        <v>174</v>
      </c>
      <c r="AZ4" s="94" t="s">
        <v>411</v>
      </c>
      <c r="BA4" s="111" t="s">
        <v>437</v>
      </c>
      <c r="BB4" s="94" t="s">
        <v>398</v>
      </c>
      <c r="BC4" s="103">
        <v>1354024263</v>
      </c>
      <c r="BD4" s="112"/>
      <c r="BF4" s="93" t="s">
        <v>460</v>
      </c>
      <c r="BG4" s="101" t="s">
        <v>174</v>
      </c>
      <c r="BH4" s="94" t="s">
        <v>414</v>
      </c>
      <c r="BI4" s="94" t="s">
        <v>417</v>
      </c>
      <c r="BJ4" s="94" t="s">
        <v>92</v>
      </c>
      <c r="BK4" s="101" t="s">
        <v>174</v>
      </c>
      <c r="BL4" s="94" t="s">
        <v>415</v>
      </c>
      <c r="BM4" s="104" t="s">
        <v>416</v>
      </c>
      <c r="BN4" s="94" t="s">
        <v>417</v>
      </c>
      <c r="BO4" s="94" t="s">
        <v>417</v>
      </c>
      <c r="BP4" s="105" t="s">
        <v>418</v>
      </c>
      <c r="BQ4" s="105" t="s">
        <v>419</v>
      </c>
      <c r="BR4" s="94" t="s">
        <v>420</v>
      </c>
      <c r="BS4" s="106"/>
      <c r="BT4" s="94" t="s">
        <v>421</v>
      </c>
      <c r="BU4" s="94">
        <v>0</v>
      </c>
      <c r="BV4" s="107" t="s">
        <v>465</v>
      </c>
      <c r="BX4" s="113"/>
      <c r="CH4" s="94" t="s">
        <v>419</v>
      </c>
      <c r="CI4" s="101" t="s">
        <v>174</v>
      </c>
      <c r="CJ4" s="101" t="s">
        <v>173</v>
      </c>
      <c r="CM4" s="101" t="s">
        <v>174</v>
      </c>
      <c r="CN4" s="101" t="s">
        <v>174</v>
      </c>
    </row>
    <row r="5" spans="1:92" ht="15" thickTop="1" x14ac:dyDescent="0.2">
      <c r="A5" s="93" t="s">
        <v>442</v>
      </c>
      <c r="B5" s="93" t="s">
        <v>442</v>
      </c>
      <c r="C5" s="94" t="s">
        <v>394</v>
      </c>
      <c r="D5" s="95" t="s">
        <v>444</v>
      </c>
      <c r="E5" s="93" t="s">
        <v>445</v>
      </c>
      <c r="F5" s="94" t="s">
        <v>396</v>
      </c>
      <c r="G5" s="95" t="s">
        <v>444</v>
      </c>
      <c r="H5" s="93" t="s">
        <v>445</v>
      </c>
      <c r="I5" s="94" t="s">
        <v>397</v>
      </c>
      <c r="J5" s="96">
        <v>22705</v>
      </c>
      <c r="K5" s="96">
        <v>32843</v>
      </c>
      <c r="L5" s="96">
        <v>32843</v>
      </c>
      <c r="M5" s="96">
        <v>32843</v>
      </c>
      <c r="N5" s="110"/>
      <c r="O5" s="96">
        <v>44927</v>
      </c>
      <c r="P5" s="97" t="s">
        <v>398</v>
      </c>
      <c r="Q5" s="97" t="s">
        <v>397</v>
      </c>
      <c r="R5" s="96">
        <v>32843</v>
      </c>
      <c r="S5" s="98" t="s">
        <v>173</v>
      </c>
      <c r="T5" s="110"/>
      <c r="U5" s="110"/>
      <c r="V5" s="110" t="s">
        <v>447</v>
      </c>
      <c r="W5" s="110" t="s">
        <v>178</v>
      </c>
      <c r="X5" s="110" t="s">
        <v>448</v>
      </c>
      <c r="Y5" s="110" t="s">
        <v>449</v>
      </c>
      <c r="Z5" s="110" t="s">
        <v>178</v>
      </c>
      <c r="AA5" s="110"/>
      <c r="AB5" s="101" t="s">
        <v>174</v>
      </c>
      <c r="AC5" s="94" t="s">
        <v>402</v>
      </c>
      <c r="AD5" s="94" t="s">
        <v>403</v>
      </c>
      <c r="AE5" s="101" t="s">
        <v>174</v>
      </c>
      <c r="AF5" s="94" t="s">
        <v>404</v>
      </c>
      <c r="AG5" s="94" t="s">
        <v>405</v>
      </c>
      <c r="AH5" s="101" t="s">
        <v>174</v>
      </c>
      <c r="AI5" s="94" t="s">
        <v>406</v>
      </c>
      <c r="AJ5" s="94" t="s">
        <v>407</v>
      </c>
      <c r="AK5" s="101" t="s">
        <v>174</v>
      </c>
      <c r="AL5" s="94" t="s">
        <v>404</v>
      </c>
      <c r="AM5" s="94" t="s">
        <v>405</v>
      </c>
      <c r="AN5" s="101" t="s">
        <v>174</v>
      </c>
      <c r="AO5" s="94" t="s">
        <v>406</v>
      </c>
      <c r="AP5" s="94" t="s">
        <v>407</v>
      </c>
      <c r="AQ5" s="94">
        <v>13</v>
      </c>
      <c r="AR5" s="94" t="s">
        <v>408</v>
      </c>
      <c r="AS5" s="94"/>
      <c r="AT5" s="94"/>
      <c r="AU5" s="94" t="s">
        <v>417</v>
      </c>
      <c r="AV5" s="94" t="s">
        <v>450</v>
      </c>
      <c r="AW5" s="94" t="s">
        <v>451</v>
      </c>
      <c r="AX5" s="94" t="s">
        <v>410</v>
      </c>
      <c r="AY5" s="101" t="s">
        <v>174</v>
      </c>
      <c r="AZ5" s="94" t="s">
        <v>411</v>
      </c>
      <c r="BA5" s="111" t="s">
        <v>452</v>
      </c>
      <c r="BB5" s="94" t="s">
        <v>397</v>
      </c>
      <c r="BC5" s="103">
        <v>1354024264</v>
      </c>
      <c r="BF5" t="s">
        <v>461</v>
      </c>
      <c r="BG5" s="101" t="s">
        <v>174</v>
      </c>
      <c r="BH5" s="94" t="s">
        <v>414</v>
      </c>
      <c r="BI5" s="94" t="s">
        <v>397</v>
      </c>
      <c r="BJ5" s="94" t="s">
        <v>92</v>
      </c>
      <c r="BK5" s="101" t="s">
        <v>174</v>
      </c>
      <c r="BL5" s="94" t="s">
        <v>415</v>
      </c>
      <c r="BM5" s="104" t="s">
        <v>416</v>
      </c>
      <c r="BN5" s="94" t="s">
        <v>417</v>
      </c>
      <c r="BO5" s="94" t="s">
        <v>417</v>
      </c>
      <c r="BP5" s="105" t="s">
        <v>418</v>
      </c>
      <c r="BQ5" s="105" t="s">
        <v>419</v>
      </c>
      <c r="BR5" s="94" t="s">
        <v>420</v>
      </c>
      <c r="BS5" s="106"/>
      <c r="BT5" s="94" t="s">
        <v>421</v>
      </c>
      <c r="BU5" s="94">
        <v>0</v>
      </c>
      <c r="BV5" s="107" t="s">
        <v>466</v>
      </c>
      <c r="CH5" s="94" t="s">
        <v>419</v>
      </c>
      <c r="CI5" s="101" t="s">
        <v>174</v>
      </c>
      <c r="CJ5" s="101" t="s">
        <v>173</v>
      </c>
      <c r="CK5" s="110"/>
      <c r="CL5" s="110"/>
      <c r="CM5" s="101" t="s">
        <v>174</v>
      </c>
      <c r="CN5" s="101" t="s">
        <v>174</v>
      </c>
    </row>
    <row r="6" spans="1:92" ht="15" thickBot="1" x14ac:dyDescent="0.25">
      <c r="A6" s="93" t="s">
        <v>443</v>
      </c>
      <c r="B6" s="93" t="s">
        <v>443</v>
      </c>
      <c r="C6" s="94" t="s">
        <v>394</v>
      </c>
      <c r="D6" s="95" t="s">
        <v>444</v>
      </c>
      <c r="E6" s="93" t="s">
        <v>446</v>
      </c>
      <c r="F6" s="94" t="s">
        <v>396</v>
      </c>
      <c r="G6" s="95" t="s">
        <v>444</v>
      </c>
      <c r="H6" s="93" t="s">
        <v>446</v>
      </c>
      <c r="I6" s="94" t="s">
        <v>397</v>
      </c>
      <c r="J6" s="96">
        <v>22981</v>
      </c>
      <c r="K6" s="96">
        <v>39274</v>
      </c>
      <c r="L6" s="96">
        <v>39274</v>
      </c>
      <c r="M6" s="96">
        <v>39274</v>
      </c>
      <c r="N6" s="110"/>
      <c r="O6" s="96">
        <v>44927</v>
      </c>
      <c r="P6" s="97" t="s">
        <v>398</v>
      </c>
      <c r="Q6" s="97" t="s">
        <v>397</v>
      </c>
      <c r="R6" s="96">
        <v>39274</v>
      </c>
      <c r="S6" s="98" t="s">
        <v>173</v>
      </c>
      <c r="T6" s="110"/>
      <c r="U6" s="110"/>
      <c r="V6" s="99" t="s">
        <v>453</v>
      </c>
      <c r="W6" s="110" t="s">
        <v>179</v>
      </c>
      <c r="X6" s="110" t="s">
        <v>454</v>
      </c>
      <c r="Y6" s="101" t="s">
        <v>455</v>
      </c>
      <c r="Z6" s="110" t="s">
        <v>456</v>
      </c>
      <c r="AA6" s="110"/>
      <c r="AB6" s="101" t="s">
        <v>174</v>
      </c>
      <c r="AC6" s="94" t="s">
        <v>402</v>
      </c>
      <c r="AD6" s="94" t="s">
        <v>403</v>
      </c>
      <c r="AE6" s="101" t="s">
        <v>174</v>
      </c>
      <c r="AF6" s="94" t="s">
        <v>404</v>
      </c>
      <c r="AG6" s="94" t="s">
        <v>405</v>
      </c>
      <c r="AH6" s="101" t="s">
        <v>174</v>
      </c>
      <c r="AI6" s="94" t="s">
        <v>406</v>
      </c>
      <c r="AJ6" s="94" t="s">
        <v>407</v>
      </c>
      <c r="AK6" s="101" t="s">
        <v>174</v>
      </c>
      <c r="AL6" s="94" t="s">
        <v>404</v>
      </c>
      <c r="AM6" s="94" t="s">
        <v>405</v>
      </c>
      <c r="AN6" s="101" t="s">
        <v>174</v>
      </c>
      <c r="AO6" s="94" t="s">
        <v>406</v>
      </c>
      <c r="AP6" s="94" t="s">
        <v>407</v>
      </c>
      <c r="AQ6" s="94">
        <v>14</v>
      </c>
      <c r="AR6" s="94" t="s">
        <v>408</v>
      </c>
      <c r="AS6" s="94"/>
      <c r="AT6" s="94"/>
      <c r="AU6" s="94" t="s">
        <v>417</v>
      </c>
      <c r="AV6" s="94" t="s">
        <v>450</v>
      </c>
      <c r="AW6" s="94" t="s">
        <v>451</v>
      </c>
      <c r="AX6" s="94" t="s">
        <v>410</v>
      </c>
      <c r="AY6" s="101" t="s">
        <v>174</v>
      </c>
      <c r="AZ6" s="94" t="s">
        <v>411</v>
      </c>
      <c r="BA6" s="111" t="s">
        <v>457</v>
      </c>
      <c r="BB6" s="94" t="s">
        <v>397</v>
      </c>
      <c r="BC6" s="103">
        <v>1354024265</v>
      </c>
      <c r="BF6" t="s">
        <v>462</v>
      </c>
      <c r="BG6" s="101" t="s">
        <v>174</v>
      </c>
      <c r="BH6" s="94" t="s">
        <v>414</v>
      </c>
      <c r="BI6" s="94" t="s">
        <v>397</v>
      </c>
      <c r="BJ6" s="94" t="s">
        <v>92</v>
      </c>
      <c r="BK6" s="101" t="s">
        <v>174</v>
      </c>
      <c r="BL6" s="94" t="s">
        <v>415</v>
      </c>
      <c r="BM6" s="104" t="s">
        <v>416</v>
      </c>
      <c r="BN6" s="94" t="s">
        <v>417</v>
      </c>
      <c r="BO6" s="94" t="s">
        <v>417</v>
      </c>
      <c r="BP6" s="105" t="s">
        <v>418</v>
      </c>
      <c r="BQ6" s="105" t="s">
        <v>419</v>
      </c>
      <c r="BR6" s="94" t="s">
        <v>420</v>
      </c>
      <c r="BS6" s="106"/>
      <c r="BT6" s="94" t="s">
        <v>421</v>
      </c>
      <c r="BU6" s="94">
        <v>0</v>
      </c>
      <c r="BV6" s="107" t="s">
        <v>467</v>
      </c>
      <c r="CH6" s="94" t="s">
        <v>419</v>
      </c>
      <c r="CI6" s="101" t="s">
        <v>174</v>
      </c>
      <c r="CJ6" s="101" t="s">
        <v>173</v>
      </c>
      <c r="CK6" s="110"/>
      <c r="CL6" s="110"/>
      <c r="CM6" s="101" t="s">
        <v>174</v>
      </c>
      <c r="CN6" s="101" t="s">
        <v>174</v>
      </c>
    </row>
    <row r="7" spans="1:92" ht="15" thickTop="1" x14ac:dyDescent="0.2"/>
  </sheetData>
  <phoneticPr fontId="13" type="noConversion"/>
  <conditionalFormatting sqref="A1:A6">
    <cfRule type="duplicateValues" dxfId="4" priority="7" stopIfTrue="1"/>
  </conditionalFormatting>
  <conditionalFormatting sqref="BF2:BF4">
    <cfRule type="duplicateValues" dxfId="3" priority="6" stopIfTrue="1"/>
  </conditionalFormatting>
  <conditionalFormatting sqref="E2:E6">
    <cfRule type="duplicateValues" dxfId="2" priority="4" stopIfTrue="1"/>
  </conditionalFormatting>
  <conditionalFormatting sqref="B2:B6">
    <cfRule type="duplicateValues" dxfId="1" priority="2" stopIfTrue="1"/>
  </conditionalFormatting>
  <conditionalFormatting sqref="H2:H6">
    <cfRule type="duplicateValues" dxfId="0" priority="1" stopIfTrue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R142</vt:lpstr>
      <vt:lpstr>Excel &amp; Test Case</vt:lpstr>
      <vt:lpstr>Config</vt:lpstr>
      <vt:lpstr>Note</vt:lpstr>
      <vt:lpstr>import 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2023-05-09T04:22:45Z</dcterms:created>
  <dcterms:modified xsi:type="dcterms:W3CDTF">2023-05-15T04:03:07Z</dcterms:modified>
</cp:coreProperties>
</file>